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github\business_forecasting_lite\compare\liteon\"/>
    </mc:Choice>
  </mc:AlternateContent>
  <xr:revisionPtr revIDLastSave="0" documentId="13_ncr:1_{0E9DCBB2-2095-44F8-8E0B-DE16FB4BE46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ily" sheetId="1" r:id="rId1"/>
    <sheet name="Weekly" sheetId="2" r:id="rId2"/>
    <sheet name="Monthly(12M)" sheetId="3" r:id="rId3"/>
    <sheet name="Daily+Weekly+Monthly" sheetId="4" r:id="rId4"/>
    <sheet name="Open PO" sheetId="5" r:id="rId5"/>
    <sheet name="Invento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7" i="2" l="1"/>
  <c r="M157" i="2" s="1"/>
  <c r="N157" i="2" s="1"/>
  <c r="O157" i="2" s="1"/>
  <c r="P157" i="2" s="1"/>
  <c r="Q157" i="2" s="1"/>
  <c r="R157" i="2" s="1"/>
  <c r="S157" i="2" s="1"/>
  <c r="T157" i="2" s="1"/>
  <c r="U157" i="2" s="1"/>
  <c r="V157" i="2" s="1"/>
  <c r="W157" i="2" s="1"/>
  <c r="X157" i="2" s="1"/>
  <c r="Y157" i="2" s="1"/>
  <c r="Z157" i="2" s="1"/>
  <c r="AA157" i="2" s="1"/>
  <c r="AB157" i="2" s="1"/>
  <c r="AC157" i="2" s="1"/>
  <c r="AD157" i="2" s="1"/>
  <c r="AE157" i="2" s="1"/>
  <c r="AF157" i="2" s="1"/>
  <c r="AG157" i="2" s="1"/>
  <c r="AH157" i="2" s="1"/>
  <c r="AI157" i="2" s="1"/>
  <c r="AJ157" i="2" s="1"/>
  <c r="AK157" i="2" s="1"/>
  <c r="AL157" i="2" s="1"/>
  <c r="AM157" i="2" s="1"/>
  <c r="AN157" i="2" s="1"/>
  <c r="AO157" i="2" s="1"/>
  <c r="AP157" i="2" s="1"/>
  <c r="AQ157" i="2" s="1"/>
  <c r="AR157" i="2" s="1"/>
  <c r="AS157" i="2" s="1"/>
  <c r="AT157" i="2" s="1"/>
  <c r="AU157" i="2" s="1"/>
  <c r="AV157" i="2" s="1"/>
  <c r="AW157" i="2" s="1"/>
  <c r="AX157" i="2" s="1"/>
  <c r="AY157" i="2" s="1"/>
  <c r="AZ157" i="2" s="1"/>
  <c r="BA157" i="2" s="1"/>
  <c r="BB157" i="2" s="1"/>
  <c r="BC157" i="2" s="1"/>
  <c r="BD157" i="2" s="1"/>
  <c r="BE157" i="2" s="1"/>
  <c r="BF157" i="2" s="1"/>
  <c r="BG157" i="2" s="1"/>
  <c r="BH157" i="2" s="1"/>
  <c r="BI157" i="2" s="1"/>
  <c r="BJ157" i="2" s="1"/>
  <c r="J157" i="2"/>
  <c r="K157" i="2" s="1"/>
  <c r="BL155" i="2"/>
  <c r="L154" i="2"/>
  <c r="M154" i="2" s="1"/>
  <c r="N154" i="2" s="1"/>
  <c r="O154" i="2" s="1"/>
  <c r="P154" i="2" s="1"/>
  <c r="Q154" i="2" s="1"/>
  <c r="R154" i="2" s="1"/>
  <c r="S154" i="2" s="1"/>
  <c r="T154" i="2" s="1"/>
  <c r="U154" i="2" s="1"/>
  <c r="V154" i="2" s="1"/>
  <c r="W154" i="2" s="1"/>
  <c r="X154" i="2" s="1"/>
  <c r="Y154" i="2" s="1"/>
  <c r="Z154" i="2" s="1"/>
  <c r="AA154" i="2" s="1"/>
  <c r="AB154" i="2" s="1"/>
  <c r="AC154" i="2" s="1"/>
  <c r="AD154" i="2" s="1"/>
  <c r="AE154" i="2" s="1"/>
  <c r="AF154" i="2" s="1"/>
  <c r="AG154" i="2" s="1"/>
  <c r="AH154" i="2" s="1"/>
  <c r="AI154" i="2" s="1"/>
  <c r="AJ154" i="2" s="1"/>
  <c r="AK154" i="2" s="1"/>
  <c r="AL154" i="2" s="1"/>
  <c r="AM154" i="2" s="1"/>
  <c r="AN154" i="2" s="1"/>
  <c r="AO154" i="2" s="1"/>
  <c r="AP154" i="2" s="1"/>
  <c r="AQ154" i="2" s="1"/>
  <c r="AR154" i="2" s="1"/>
  <c r="AS154" i="2" s="1"/>
  <c r="AT154" i="2" s="1"/>
  <c r="AU154" i="2" s="1"/>
  <c r="AV154" i="2" s="1"/>
  <c r="AW154" i="2" s="1"/>
  <c r="AX154" i="2" s="1"/>
  <c r="AY154" i="2" s="1"/>
  <c r="AZ154" i="2" s="1"/>
  <c r="BA154" i="2" s="1"/>
  <c r="BB154" i="2" s="1"/>
  <c r="BC154" i="2" s="1"/>
  <c r="BD154" i="2" s="1"/>
  <c r="BE154" i="2" s="1"/>
  <c r="BF154" i="2" s="1"/>
  <c r="BG154" i="2" s="1"/>
  <c r="BH154" i="2" s="1"/>
  <c r="BI154" i="2" s="1"/>
  <c r="BJ154" i="2" s="1"/>
  <c r="J154" i="2"/>
  <c r="K154" i="2" s="1"/>
  <c r="BL152" i="2"/>
  <c r="L151" i="2"/>
  <c r="M151" i="2" s="1"/>
  <c r="N151" i="2" s="1"/>
  <c r="O151" i="2" s="1"/>
  <c r="P151" i="2" s="1"/>
  <c r="Q151" i="2" s="1"/>
  <c r="R151" i="2" s="1"/>
  <c r="S151" i="2" s="1"/>
  <c r="T151" i="2" s="1"/>
  <c r="U151" i="2" s="1"/>
  <c r="V151" i="2" s="1"/>
  <c r="W151" i="2" s="1"/>
  <c r="X151" i="2" s="1"/>
  <c r="Y151" i="2" s="1"/>
  <c r="Z151" i="2" s="1"/>
  <c r="AA151" i="2" s="1"/>
  <c r="AB151" i="2" s="1"/>
  <c r="AC151" i="2" s="1"/>
  <c r="AD151" i="2" s="1"/>
  <c r="AE151" i="2" s="1"/>
  <c r="AF151" i="2" s="1"/>
  <c r="AG151" i="2" s="1"/>
  <c r="AH151" i="2" s="1"/>
  <c r="AI151" i="2" s="1"/>
  <c r="AJ151" i="2" s="1"/>
  <c r="AK151" i="2" s="1"/>
  <c r="AL151" i="2" s="1"/>
  <c r="AM151" i="2" s="1"/>
  <c r="AN151" i="2" s="1"/>
  <c r="AO151" i="2" s="1"/>
  <c r="AP151" i="2" s="1"/>
  <c r="AQ151" i="2" s="1"/>
  <c r="AR151" i="2" s="1"/>
  <c r="AS151" i="2" s="1"/>
  <c r="AT151" i="2" s="1"/>
  <c r="AU151" i="2" s="1"/>
  <c r="AV151" i="2" s="1"/>
  <c r="AW151" i="2" s="1"/>
  <c r="AX151" i="2" s="1"/>
  <c r="AY151" i="2" s="1"/>
  <c r="AZ151" i="2" s="1"/>
  <c r="BA151" i="2" s="1"/>
  <c r="BB151" i="2" s="1"/>
  <c r="BC151" i="2" s="1"/>
  <c r="BD151" i="2" s="1"/>
  <c r="BE151" i="2" s="1"/>
  <c r="BF151" i="2" s="1"/>
  <c r="BG151" i="2" s="1"/>
  <c r="BH151" i="2" s="1"/>
  <c r="BI151" i="2" s="1"/>
  <c r="BJ151" i="2" s="1"/>
  <c r="J151" i="2"/>
  <c r="K151" i="2" s="1"/>
  <c r="BL149" i="2"/>
  <c r="L148" i="2"/>
  <c r="M148" i="2" s="1"/>
  <c r="N148" i="2" s="1"/>
  <c r="O148" i="2" s="1"/>
  <c r="P148" i="2" s="1"/>
  <c r="Q148" i="2" s="1"/>
  <c r="R148" i="2" s="1"/>
  <c r="S148" i="2" s="1"/>
  <c r="T148" i="2" s="1"/>
  <c r="U148" i="2" s="1"/>
  <c r="V148" i="2" s="1"/>
  <c r="W148" i="2" s="1"/>
  <c r="X148" i="2" s="1"/>
  <c r="Y148" i="2" s="1"/>
  <c r="Z148" i="2" s="1"/>
  <c r="AA148" i="2" s="1"/>
  <c r="AB148" i="2" s="1"/>
  <c r="AC148" i="2" s="1"/>
  <c r="AD148" i="2" s="1"/>
  <c r="AE148" i="2" s="1"/>
  <c r="AF148" i="2" s="1"/>
  <c r="AG148" i="2" s="1"/>
  <c r="AH148" i="2" s="1"/>
  <c r="AI148" i="2" s="1"/>
  <c r="AJ148" i="2" s="1"/>
  <c r="AK148" i="2" s="1"/>
  <c r="AL148" i="2" s="1"/>
  <c r="AM148" i="2" s="1"/>
  <c r="AN148" i="2" s="1"/>
  <c r="AO148" i="2" s="1"/>
  <c r="AP148" i="2" s="1"/>
  <c r="AQ148" i="2" s="1"/>
  <c r="AR148" i="2" s="1"/>
  <c r="AS148" i="2" s="1"/>
  <c r="AT148" i="2" s="1"/>
  <c r="AU148" i="2" s="1"/>
  <c r="AV148" i="2" s="1"/>
  <c r="AW148" i="2" s="1"/>
  <c r="AX148" i="2" s="1"/>
  <c r="AY148" i="2" s="1"/>
  <c r="AZ148" i="2" s="1"/>
  <c r="BA148" i="2" s="1"/>
  <c r="BB148" i="2" s="1"/>
  <c r="BC148" i="2" s="1"/>
  <c r="BD148" i="2" s="1"/>
  <c r="BE148" i="2" s="1"/>
  <c r="BF148" i="2" s="1"/>
  <c r="BG148" i="2" s="1"/>
  <c r="BH148" i="2" s="1"/>
  <c r="BI148" i="2" s="1"/>
  <c r="BJ148" i="2" s="1"/>
  <c r="J148" i="2"/>
  <c r="K148" i="2" s="1"/>
  <c r="BL146" i="2"/>
  <c r="L145" i="2"/>
  <c r="M145" i="2" s="1"/>
  <c r="N145" i="2" s="1"/>
  <c r="O145" i="2" s="1"/>
  <c r="P145" i="2" s="1"/>
  <c r="Q145" i="2" s="1"/>
  <c r="R145" i="2" s="1"/>
  <c r="S145" i="2" s="1"/>
  <c r="T145" i="2" s="1"/>
  <c r="U145" i="2" s="1"/>
  <c r="V145" i="2" s="1"/>
  <c r="W145" i="2" s="1"/>
  <c r="X145" i="2" s="1"/>
  <c r="Y145" i="2" s="1"/>
  <c r="Z145" i="2" s="1"/>
  <c r="AA145" i="2" s="1"/>
  <c r="AB145" i="2" s="1"/>
  <c r="AC145" i="2" s="1"/>
  <c r="AD145" i="2" s="1"/>
  <c r="AE145" i="2" s="1"/>
  <c r="AF145" i="2" s="1"/>
  <c r="AG145" i="2" s="1"/>
  <c r="AH145" i="2" s="1"/>
  <c r="AI145" i="2" s="1"/>
  <c r="AJ145" i="2" s="1"/>
  <c r="AK145" i="2" s="1"/>
  <c r="AL145" i="2" s="1"/>
  <c r="AM145" i="2" s="1"/>
  <c r="AN145" i="2" s="1"/>
  <c r="AO145" i="2" s="1"/>
  <c r="AP145" i="2" s="1"/>
  <c r="AQ145" i="2" s="1"/>
  <c r="AR145" i="2" s="1"/>
  <c r="AS145" i="2" s="1"/>
  <c r="AT145" i="2" s="1"/>
  <c r="AU145" i="2" s="1"/>
  <c r="AV145" i="2" s="1"/>
  <c r="AW145" i="2" s="1"/>
  <c r="AX145" i="2" s="1"/>
  <c r="AY145" i="2" s="1"/>
  <c r="AZ145" i="2" s="1"/>
  <c r="BA145" i="2" s="1"/>
  <c r="BB145" i="2" s="1"/>
  <c r="BC145" i="2" s="1"/>
  <c r="BD145" i="2" s="1"/>
  <c r="BE145" i="2" s="1"/>
  <c r="BF145" i="2" s="1"/>
  <c r="BG145" i="2" s="1"/>
  <c r="BH145" i="2" s="1"/>
  <c r="BI145" i="2" s="1"/>
  <c r="BJ145" i="2" s="1"/>
  <c r="J145" i="2"/>
  <c r="K145" i="2" s="1"/>
  <c r="BL143" i="2"/>
  <c r="L142" i="2"/>
  <c r="M142" i="2" s="1"/>
  <c r="N142" i="2" s="1"/>
  <c r="O142" i="2" s="1"/>
  <c r="P142" i="2" s="1"/>
  <c r="Q142" i="2" s="1"/>
  <c r="R142" i="2" s="1"/>
  <c r="S142" i="2" s="1"/>
  <c r="T142" i="2" s="1"/>
  <c r="U142" i="2" s="1"/>
  <c r="V142" i="2" s="1"/>
  <c r="W142" i="2" s="1"/>
  <c r="X142" i="2" s="1"/>
  <c r="Y142" i="2" s="1"/>
  <c r="Z142" i="2" s="1"/>
  <c r="AA142" i="2" s="1"/>
  <c r="AB142" i="2" s="1"/>
  <c r="AC142" i="2" s="1"/>
  <c r="AD142" i="2" s="1"/>
  <c r="AE142" i="2" s="1"/>
  <c r="AF142" i="2" s="1"/>
  <c r="AG142" i="2" s="1"/>
  <c r="AH142" i="2" s="1"/>
  <c r="AI142" i="2" s="1"/>
  <c r="AJ142" i="2" s="1"/>
  <c r="AK142" i="2" s="1"/>
  <c r="AL142" i="2" s="1"/>
  <c r="AM142" i="2" s="1"/>
  <c r="AN142" i="2" s="1"/>
  <c r="AO142" i="2" s="1"/>
  <c r="AP142" i="2" s="1"/>
  <c r="AQ142" i="2" s="1"/>
  <c r="AR142" i="2" s="1"/>
  <c r="AS142" i="2" s="1"/>
  <c r="AT142" i="2" s="1"/>
  <c r="AU142" i="2" s="1"/>
  <c r="AV142" i="2" s="1"/>
  <c r="AW142" i="2" s="1"/>
  <c r="AX142" i="2" s="1"/>
  <c r="AY142" i="2" s="1"/>
  <c r="AZ142" i="2" s="1"/>
  <c r="BA142" i="2" s="1"/>
  <c r="BB142" i="2" s="1"/>
  <c r="BC142" i="2" s="1"/>
  <c r="BD142" i="2" s="1"/>
  <c r="BE142" i="2" s="1"/>
  <c r="BF142" i="2" s="1"/>
  <c r="BG142" i="2" s="1"/>
  <c r="BH142" i="2" s="1"/>
  <c r="BI142" i="2" s="1"/>
  <c r="BJ142" i="2" s="1"/>
  <c r="J142" i="2"/>
  <c r="K142" i="2" s="1"/>
  <c r="BL140" i="2"/>
  <c r="L139" i="2"/>
  <c r="M139" i="2" s="1"/>
  <c r="N139" i="2" s="1"/>
  <c r="O139" i="2" s="1"/>
  <c r="P139" i="2" s="1"/>
  <c r="Q139" i="2" s="1"/>
  <c r="R139" i="2" s="1"/>
  <c r="S139" i="2" s="1"/>
  <c r="T139" i="2" s="1"/>
  <c r="U139" i="2" s="1"/>
  <c r="V139" i="2" s="1"/>
  <c r="W139" i="2" s="1"/>
  <c r="X139" i="2" s="1"/>
  <c r="Y139" i="2" s="1"/>
  <c r="Z139" i="2" s="1"/>
  <c r="AA139" i="2" s="1"/>
  <c r="AB139" i="2" s="1"/>
  <c r="AC139" i="2" s="1"/>
  <c r="AD139" i="2" s="1"/>
  <c r="AE139" i="2" s="1"/>
  <c r="AF139" i="2" s="1"/>
  <c r="AG139" i="2" s="1"/>
  <c r="AH139" i="2" s="1"/>
  <c r="AI139" i="2" s="1"/>
  <c r="AJ139" i="2" s="1"/>
  <c r="AK139" i="2" s="1"/>
  <c r="AL139" i="2" s="1"/>
  <c r="AM139" i="2" s="1"/>
  <c r="AN139" i="2" s="1"/>
  <c r="AO139" i="2" s="1"/>
  <c r="AP139" i="2" s="1"/>
  <c r="AQ139" i="2" s="1"/>
  <c r="AR139" i="2" s="1"/>
  <c r="AS139" i="2" s="1"/>
  <c r="AT139" i="2" s="1"/>
  <c r="AU139" i="2" s="1"/>
  <c r="AV139" i="2" s="1"/>
  <c r="AW139" i="2" s="1"/>
  <c r="AX139" i="2" s="1"/>
  <c r="AY139" i="2" s="1"/>
  <c r="AZ139" i="2" s="1"/>
  <c r="BA139" i="2" s="1"/>
  <c r="BB139" i="2" s="1"/>
  <c r="BC139" i="2" s="1"/>
  <c r="BD139" i="2" s="1"/>
  <c r="BE139" i="2" s="1"/>
  <c r="BF139" i="2" s="1"/>
  <c r="BG139" i="2" s="1"/>
  <c r="BH139" i="2" s="1"/>
  <c r="BI139" i="2" s="1"/>
  <c r="BJ139" i="2" s="1"/>
  <c r="J139" i="2"/>
  <c r="K139" i="2" s="1"/>
  <c r="BL137" i="2"/>
  <c r="L136" i="2"/>
  <c r="M136" i="2" s="1"/>
  <c r="N136" i="2" s="1"/>
  <c r="O136" i="2" s="1"/>
  <c r="P136" i="2" s="1"/>
  <c r="Q136" i="2" s="1"/>
  <c r="R136" i="2" s="1"/>
  <c r="S136" i="2" s="1"/>
  <c r="T136" i="2" s="1"/>
  <c r="U136" i="2" s="1"/>
  <c r="V136" i="2" s="1"/>
  <c r="W136" i="2" s="1"/>
  <c r="X136" i="2" s="1"/>
  <c r="Y136" i="2" s="1"/>
  <c r="Z136" i="2" s="1"/>
  <c r="AA136" i="2" s="1"/>
  <c r="AB136" i="2" s="1"/>
  <c r="AC136" i="2" s="1"/>
  <c r="AD136" i="2" s="1"/>
  <c r="AE136" i="2" s="1"/>
  <c r="AF136" i="2" s="1"/>
  <c r="AG136" i="2" s="1"/>
  <c r="AH136" i="2" s="1"/>
  <c r="AI136" i="2" s="1"/>
  <c r="AJ136" i="2" s="1"/>
  <c r="AK136" i="2" s="1"/>
  <c r="AL136" i="2" s="1"/>
  <c r="AM136" i="2" s="1"/>
  <c r="AN136" i="2" s="1"/>
  <c r="AO136" i="2" s="1"/>
  <c r="AP136" i="2" s="1"/>
  <c r="AQ136" i="2" s="1"/>
  <c r="AR136" i="2" s="1"/>
  <c r="AS136" i="2" s="1"/>
  <c r="AT136" i="2" s="1"/>
  <c r="AU136" i="2" s="1"/>
  <c r="AV136" i="2" s="1"/>
  <c r="AW136" i="2" s="1"/>
  <c r="AX136" i="2" s="1"/>
  <c r="AY136" i="2" s="1"/>
  <c r="AZ136" i="2" s="1"/>
  <c r="BA136" i="2" s="1"/>
  <c r="BB136" i="2" s="1"/>
  <c r="BC136" i="2" s="1"/>
  <c r="BD136" i="2" s="1"/>
  <c r="BE136" i="2" s="1"/>
  <c r="BF136" i="2" s="1"/>
  <c r="BG136" i="2" s="1"/>
  <c r="BH136" i="2" s="1"/>
  <c r="BI136" i="2" s="1"/>
  <c r="BJ136" i="2" s="1"/>
  <c r="J136" i="2"/>
  <c r="K136" i="2" s="1"/>
  <c r="BL134" i="2"/>
  <c r="L133" i="2"/>
  <c r="M133" i="2" s="1"/>
  <c r="N133" i="2" s="1"/>
  <c r="O133" i="2" s="1"/>
  <c r="P133" i="2" s="1"/>
  <c r="Q133" i="2" s="1"/>
  <c r="R133" i="2" s="1"/>
  <c r="S133" i="2" s="1"/>
  <c r="T133" i="2" s="1"/>
  <c r="U133" i="2" s="1"/>
  <c r="V133" i="2" s="1"/>
  <c r="W133" i="2" s="1"/>
  <c r="X133" i="2" s="1"/>
  <c r="Y133" i="2" s="1"/>
  <c r="Z133" i="2" s="1"/>
  <c r="AA133" i="2" s="1"/>
  <c r="AB133" i="2" s="1"/>
  <c r="AC133" i="2" s="1"/>
  <c r="AD133" i="2" s="1"/>
  <c r="AE133" i="2" s="1"/>
  <c r="AF133" i="2" s="1"/>
  <c r="AG133" i="2" s="1"/>
  <c r="AH133" i="2" s="1"/>
  <c r="AI133" i="2" s="1"/>
  <c r="AJ133" i="2" s="1"/>
  <c r="AK133" i="2" s="1"/>
  <c r="AL133" i="2" s="1"/>
  <c r="AM133" i="2" s="1"/>
  <c r="AN133" i="2" s="1"/>
  <c r="AO133" i="2" s="1"/>
  <c r="AP133" i="2" s="1"/>
  <c r="AQ133" i="2" s="1"/>
  <c r="AR133" i="2" s="1"/>
  <c r="AS133" i="2" s="1"/>
  <c r="AT133" i="2" s="1"/>
  <c r="AU133" i="2" s="1"/>
  <c r="AV133" i="2" s="1"/>
  <c r="AW133" i="2" s="1"/>
  <c r="AX133" i="2" s="1"/>
  <c r="AY133" i="2" s="1"/>
  <c r="AZ133" i="2" s="1"/>
  <c r="BA133" i="2" s="1"/>
  <c r="BB133" i="2" s="1"/>
  <c r="BC133" i="2" s="1"/>
  <c r="BD133" i="2" s="1"/>
  <c r="BE133" i="2" s="1"/>
  <c r="BF133" i="2" s="1"/>
  <c r="BG133" i="2" s="1"/>
  <c r="BH133" i="2" s="1"/>
  <c r="BI133" i="2" s="1"/>
  <c r="BJ133" i="2" s="1"/>
  <c r="J133" i="2"/>
  <c r="K133" i="2" s="1"/>
  <c r="BL131" i="2"/>
  <c r="K130" i="2"/>
  <c r="L130" i="2" s="1"/>
  <c r="M130" i="2" s="1"/>
  <c r="N130" i="2" s="1"/>
  <c r="O130" i="2" s="1"/>
  <c r="P130" i="2" s="1"/>
  <c r="Q130" i="2" s="1"/>
  <c r="R130" i="2" s="1"/>
  <c r="S130" i="2" s="1"/>
  <c r="T130" i="2" s="1"/>
  <c r="U130" i="2" s="1"/>
  <c r="V130" i="2" s="1"/>
  <c r="W130" i="2" s="1"/>
  <c r="X130" i="2" s="1"/>
  <c r="Y130" i="2" s="1"/>
  <c r="Z130" i="2" s="1"/>
  <c r="AA130" i="2" s="1"/>
  <c r="AB130" i="2" s="1"/>
  <c r="AC130" i="2" s="1"/>
  <c r="AD130" i="2" s="1"/>
  <c r="AE130" i="2" s="1"/>
  <c r="AF130" i="2" s="1"/>
  <c r="AG130" i="2" s="1"/>
  <c r="AH130" i="2" s="1"/>
  <c r="AI130" i="2" s="1"/>
  <c r="AJ130" i="2" s="1"/>
  <c r="AK130" i="2" s="1"/>
  <c r="AL130" i="2" s="1"/>
  <c r="AM130" i="2" s="1"/>
  <c r="AN130" i="2" s="1"/>
  <c r="AO130" i="2" s="1"/>
  <c r="AP130" i="2" s="1"/>
  <c r="AQ130" i="2" s="1"/>
  <c r="AR130" i="2" s="1"/>
  <c r="AS130" i="2" s="1"/>
  <c r="AT130" i="2" s="1"/>
  <c r="AU130" i="2" s="1"/>
  <c r="AV130" i="2" s="1"/>
  <c r="AW130" i="2" s="1"/>
  <c r="AX130" i="2" s="1"/>
  <c r="AY130" i="2" s="1"/>
  <c r="AZ130" i="2" s="1"/>
  <c r="BA130" i="2" s="1"/>
  <c r="BB130" i="2" s="1"/>
  <c r="BC130" i="2" s="1"/>
  <c r="BD130" i="2" s="1"/>
  <c r="BE130" i="2" s="1"/>
  <c r="BF130" i="2" s="1"/>
  <c r="BG130" i="2" s="1"/>
  <c r="BH130" i="2" s="1"/>
  <c r="BI130" i="2" s="1"/>
  <c r="BJ130" i="2" s="1"/>
  <c r="J130" i="2"/>
  <c r="BL128" i="2"/>
  <c r="K127" i="2"/>
  <c r="L127" i="2" s="1"/>
  <c r="M127" i="2" s="1"/>
  <c r="N127" i="2" s="1"/>
  <c r="O127" i="2" s="1"/>
  <c r="P127" i="2" s="1"/>
  <c r="Q127" i="2" s="1"/>
  <c r="R127" i="2" s="1"/>
  <c r="S127" i="2" s="1"/>
  <c r="T127" i="2" s="1"/>
  <c r="U127" i="2" s="1"/>
  <c r="V127" i="2" s="1"/>
  <c r="W127" i="2" s="1"/>
  <c r="X127" i="2" s="1"/>
  <c r="Y127" i="2" s="1"/>
  <c r="Z127" i="2" s="1"/>
  <c r="AA127" i="2" s="1"/>
  <c r="AB127" i="2" s="1"/>
  <c r="AC127" i="2" s="1"/>
  <c r="AD127" i="2" s="1"/>
  <c r="AE127" i="2" s="1"/>
  <c r="AF127" i="2" s="1"/>
  <c r="AG127" i="2" s="1"/>
  <c r="AH127" i="2" s="1"/>
  <c r="AI127" i="2" s="1"/>
  <c r="AJ127" i="2" s="1"/>
  <c r="AK127" i="2" s="1"/>
  <c r="AL127" i="2" s="1"/>
  <c r="AM127" i="2" s="1"/>
  <c r="AN127" i="2" s="1"/>
  <c r="AO127" i="2" s="1"/>
  <c r="AP127" i="2" s="1"/>
  <c r="AQ127" i="2" s="1"/>
  <c r="AR127" i="2" s="1"/>
  <c r="AS127" i="2" s="1"/>
  <c r="AT127" i="2" s="1"/>
  <c r="AU127" i="2" s="1"/>
  <c r="AV127" i="2" s="1"/>
  <c r="AW127" i="2" s="1"/>
  <c r="AX127" i="2" s="1"/>
  <c r="AY127" i="2" s="1"/>
  <c r="AZ127" i="2" s="1"/>
  <c r="BA127" i="2" s="1"/>
  <c r="BB127" i="2" s="1"/>
  <c r="BC127" i="2" s="1"/>
  <c r="BD127" i="2" s="1"/>
  <c r="BE127" i="2" s="1"/>
  <c r="BF127" i="2" s="1"/>
  <c r="BG127" i="2" s="1"/>
  <c r="BH127" i="2" s="1"/>
  <c r="BI127" i="2" s="1"/>
  <c r="BJ127" i="2" s="1"/>
  <c r="J127" i="2"/>
  <c r="BL125" i="2"/>
  <c r="K124" i="2"/>
  <c r="L124" i="2" s="1"/>
  <c r="M124" i="2" s="1"/>
  <c r="N124" i="2" s="1"/>
  <c r="O124" i="2" s="1"/>
  <c r="P124" i="2" s="1"/>
  <c r="Q124" i="2" s="1"/>
  <c r="R124" i="2" s="1"/>
  <c r="S124" i="2" s="1"/>
  <c r="T124" i="2" s="1"/>
  <c r="U124" i="2" s="1"/>
  <c r="V124" i="2" s="1"/>
  <c r="W124" i="2" s="1"/>
  <c r="X124" i="2" s="1"/>
  <c r="Y124" i="2" s="1"/>
  <c r="Z124" i="2" s="1"/>
  <c r="AA124" i="2" s="1"/>
  <c r="AB124" i="2" s="1"/>
  <c r="AC124" i="2" s="1"/>
  <c r="AD124" i="2" s="1"/>
  <c r="AE124" i="2" s="1"/>
  <c r="AF124" i="2" s="1"/>
  <c r="AG124" i="2" s="1"/>
  <c r="AH124" i="2" s="1"/>
  <c r="AI124" i="2" s="1"/>
  <c r="AJ124" i="2" s="1"/>
  <c r="AK124" i="2" s="1"/>
  <c r="AL124" i="2" s="1"/>
  <c r="AM124" i="2" s="1"/>
  <c r="AN124" i="2" s="1"/>
  <c r="AO124" i="2" s="1"/>
  <c r="AP124" i="2" s="1"/>
  <c r="AQ124" i="2" s="1"/>
  <c r="AR124" i="2" s="1"/>
  <c r="AS124" i="2" s="1"/>
  <c r="AT124" i="2" s="1"/>
  <c r="AU124" i="2" s="1"/>
  <c r="AV124" i="2" s="1"/>
  <c r="AW124" i="2" s="1"/>
  <c r="AX124" i="2" s="1"/>
  <c r="AY124" i="2" s="1"/>
  <c r="AZ124" i="2" s="1"/>
  <c r="BA124" i="2" s="1"/>
  <c r="BB124" i="2" s="1"/>
  <c r="BC124" i="2" s="1"/>
  <c r="BD124" i="2" s="1"/>
  <c r="BE124" i="2" s="1"/>
  <c r="BF124" i="2" s="1"/>
  <c r="BG124" i="2" s="1"/>
  <c r="BH124" i="2" s="1"/>
  <c r="BI124" i="2" s="1"/>
  <c r="BJ124" i="2" s="1"/>
  <c r="J124" i="2"/>
  <c r="BL122" i="2"/>
  <c r="K121" i="2"/>
  <c r="L121" i="2" s="1"/>
  <c r="M121" i="2" s="1"/>
  <c r="N121" i="2" s="1"/>
  <c r="O121" i="2" s="1"/>
  <c r="P121" i="2" s="1"/>
  <c r="Q121" i="2" s="1"/>
  <c r="R121" i="2" s="1"/>
  <c r="S121" i="2" s="1"/>
  <c r="T121" i="2" s="1"/>
  <c r="U121" i="2" s="1"/>
  <c r="V121" i="2" s="1"/>
  <c r="W121" i="2" s="1"/>
  <c r="X121" i="2" s="1"/>
  <c r="Y121" i="2" s="1"/>
  <c r="Z121" i="2" s="1"/>
  <c r="AA121" i="2" s="1"/>
  <c r="AB121" i="2" s="1"/>
  <c r="AC121" i="2" s="1"/>
  <c r="AD121" i="2" s="1"/>
  <c r="AE121" i="2" s="1"/>
  <c r="AF121" i="2" s="1"/>
  <c r="AG121" i="2" s="1"/>
  <c r="AH121" i="2" s="1"/>
  <c r="AI121" i="2" s="1"/>
  <c r="AJ121" i="2" s="1"/>
  <c r="AK121" i="2" s="1"/>
  <c r="AL121" i="2" s="1"/>
  <c r="AM121" i="2" s="1"/>
  <c r="AN121" i="2" s="1"/>
  <c r="AO121" i="2" s="1"/>
  <c r="AP121" i="2" s="1"/>
  <c r="AQ121" i="2" s="1"/>
  <c r="AR121" i="2" s="1"/>
  <c r="AS121" i="2" s="1"/>
  <c r="AT121" i="2" s="1"/>
  <c r="AU121" i="2" s="1"/>
  <c r="AV121" i="2" s="1"/>
  <c r="AW121" i="2" s="1"/>
  <c r="AX121" i="2" s="1"/>
  <c r="AY121" i="2" s="1"/>
  <c r="AZ121" i="2" s="1"/>
  <c r="BA121" i="2" s="1"/>
  <c r="BB121" i="2" s="1"/>
  <c r="BC121" i="2" s="1"/>
  <c r="BD121" i="2" s="1"/>
  <c r="BE121" i="2" s="1"/>
  <c r="BF121" i="2" s="1"/>
  <c r="BG121" i="2" s="1"/>
  <c r="BH121" i="2" s="1"/>
  <c r="BI121" i="2" s="1"/>
  <c r="BJ121" i="2" s="1"/>
  <c r="J121" i="2"/>
  <c r="BL119" i="2"/>
  <c r="K118" i="2"/>
  <c r="L118" i="2" s="1"/>
  <c r="M118" i="2" s="1"/>
  <c r="N118" i="2" s="1"/>
  <c r="O118" i="2" s="1"/>
  <c r="P118" i="2" s="1"/>
  <c r="Q118" i="2" s="1"/>
  <c r="R118" i="2" s="1"/>
  <c r="S118" i="2" s="1"/>
  <c r="T118" i="2" s="1"/>
  <c r="U118" i="2" s="1"/>
  <c r="V118" i="2" s="1"/>
  <c r="W118" i="2" s="1"/>
  <c r="X118" i="2" s="1"/>
  <c r="Y118" i="2" s="1"/>
  <c r="Z118" i="2" s="1"/>
  <c r="AA118" i="2" s="1"/>
  <c r="AB118" i="2" s="1"/>
  <c r="AC118" i="2" s="1"/>
  <c r="AD118" i="2" s="1"/>
  <c r="AE118" i="2" s="1"/>
  <c r="AF118" i="2" s="1"/>
  <c r="AG118" i="2" s="1"/>
  <c r="AH118" i="2" s="1"/>
  <c r="AI118" i="2" s="1"/>
  <c r="AJ118" i="2" s="1"/>
  <c r="AK118" i="2" s="1"/>
  <c r="AL118" i="2" s="1"/>
  <c r="AM118" i="2" s="1"/>
  <c r="AN118" i="2" s="1"/>
  <c r="AO118" i="2" s="1"/>
  <c r="AP118" i="2" s="1"/>
  <c r="AQ118" i="2" s="1"/>
  <c r="AR118" i="2" s="1"/>
  <c r="AS118" i="2" s="1"/>
  <c r="AT118" i="2" s="1"/>
  <c r="AU118" i="2" s="1"/>
  <c r="AV118" i="2" s="1"/>
  <c r="AW118" i="2" s="1"/>
  <c r="AX118" i="2" s="1"/>
  <c r="AY118" i="2" s="1"/>
  <c r="AZ118" i="2" s="1"/>
  <c r="BA118" i="2" s="1"/>
  <c r="BB118" i="2" s="1"/>
  <c r="BC118" i="2" s="1"/>
  <c r="BD118" i="2" s="1"/>
  <c r="BE118" i="2" s="1"/>
  <c r="BF118" i="2" s="1"/>
  <c r="BG118" i="2" s="1"/>
  <c r="BH118" i="2" s="1"/>
  <c r="BI118" i="2" s="1"/>
  <c r="BJ118" i="2" s="1"/>
  <c r="J118" i="2"/>
  <c r="BL116" i="2"/>
  <c r="K115" i="2"/>
  <c r="L115" i="2" s="1"/>
  <c r="M115" i="2" s="1"/>
  <c r="N115" i="2" s="1"/>
  <c r="O115" i="2" s="1"/>
  <c r="P115" i="2" s="1"/>
  <c r="Q115" i="2" s="1"/>
  <c r="R115" i="2" s="1"/>
  <c r="S115" i="2" s="1"/>
  <c r="T115" i="2" s="1"/>
  <c r="U115" i="2" s="1"/>
  <c r="V115" i="2" s="1"/>
  <c r="W115" i="2" s="1"/>
  <c r="X115" i="2" s="1"/>
  <c r="Y115" i="2" s="1"/>
  <c r="Z115" i="2" s="1"/>
  <c r="AA115" i="2" s="1"/>
  <c r="AB115" i="2" s="1"/>
  <c r="AC115" i="2" s="1"/>
  <c r="AD115" i="2" s="1"/>
  <c r="AE115" i="2" s="1"/>
  <c r="AF115" i="2" s="1"/>
  <c r="AG115" i="2" s="1"/>
  <c r="AH115" i="2" s="1"/>
  <c r="AI115" i="2" s="1"/>
  <c r="AJ115" i="2" s="1"/>
  <c r="AK115" i="2" s="1"/>
  <c r="AL115" i="2" s="1"/>
  <c r="AM115" i="2" s="1"/>
  <c r="AN115" i="2" s="1"/>
  <c r="AO115" i="2" s="1"/>
  <c r="AP115" i="2" s="1"/>
  <c r="AQ115" i="2" s="1"/>
  <c r="AR115" i="2" s="1"/>
  <c r="AS115" i="2" s="1"/>
  <c r="AT115" i="2" s="1"/>
  <c r="AU115" i="2" s="1"/>
  <c r="AV115" i="2" s="1"/>
  <c r="AW115" i="2" s="1"/>
  <c r="AX115" i="2" s="1"/>
  <c r="AY115" i="2" s="1"/>
  <c r="AZ115" i="2" s="1"/>
  <c r="BA115" i="2" s="1"/>
  <c r="BB115" i="2" s="1"/>
  <c r="BC115" i="2" s="1"/>
  <c r="BD115" i="2" s="1"/>
  <c r="BE115" i="2" s="1"/>
  <c r="BF115" i="2" s="1"/>
  <c r="BG115" i="2" s="1"/>
  <c r="BH115" i="2" s="1"/>
  <c r="BI115" i="2" s="1"/>
  <c r="BJ115" i="2" s="1"/>
  <c r="J115" i="2"/>
  <c r="BL113" i="2"/>
  <c r="K112" i="2"/>
  <c r="L112" i="2" s="1"/>
  <c r="M112" i="2" s="1"/>
  <c r="N112" i="2" s="1"/>
  <c r="O112" i="2" s="1"/>
  <c r="P112" i="2" s="1"/>
  <c r="Q112" i="2" s="1"/>
  <c r="R112" i="2" s="1"/>
  <c r="S112" i="2" s="1"/>
  <c r="T112" i="2" s="1"/>
  <c r="U112" i="2" s="1"/>
  <c r="V112" i="2" s="1"/>
  <c r="W112" i="2" s="1"/>
  <c r="X112" i="2" s="1"/>
  <c r="Y112" i="2" s="1"/>
  <c r="Z112" i="2" s="1"/>
  <c r="AA112" i="2" s="1"/>
  <c r="AB112" i="2" s="1"/>
  <c r="AC112" i="2" s="1"/>
  <c r="AD112" i="2" s="1"/>
  <c r="AE112" i="2" s="1"/>
  <c r="AF112" i="2" s="1"/>
  <c r="AG112" i="2" s="1"/>
  <c r="AH112" i="2" s="1"/>
  <c r="AI112" i="2" s="1"/>
  <c r="AJ112" i="2" s="1"/>
  <c r="AK112" i="2" s="1"/>
  <c r="AL112" i="2" s="1"/>
  <c r="AM112" i="2" s="1"/>
  <c r="AN112" i="2" s="1"/>
  <c r="AO112" i="2" s="1"/>
  <c r="AP112" i="2" s="1"/>
  <c r="AQ112" i="2" s="1"/>
  <c r="AR112" i="2" s="1"/>
  <c r="AS112" i="2" s="1"/>
  <c r="AT112" i="2" s="1"/>
  <c r="AU112" i="2" s="1"/>
  <c r="AV112" i="2" s="1"/>
  <c r="AW112" i="2" s="1"/>
  <c r="AX112" i="2" s="1"/>
  <c r="AY112" i="2" s="1"/>
  <c r="AZ112" i="2" s="1"/>
  <c r="BA112" i="2" s="1"/>
  <c r="BB112" i="2" s="1"/>
  <c r="BC112" i="2" s="1"/>
  <c r="BD112" i="2" s="1"/>
  <c r="BE112" i="2" s="1"/>
  <c r="BF112" i="2" s="1"/>
  <c r="BG112" i="2" s="1"/>
  <c r="BH112" i="2" s="1"/>
  <c r="BI112" i="2" s="1"/>
  <c r="BJ112" i="2" s="1"/>
  <c r="J112" i="2"/>
  <c r="BL110" i="2"/>
  <c r="K109" i="2"/>
  <c r="L109" i="2" s="1"/>
  <c r="M109" i="2" s="1"/>
  <c r="N109" i="2" s="1"/>
  <c r="O109" i="2" s="1"/>
  <c r="P109" i="2" s="1"/>
  <c r="Q109" i="2" s="1"/>
  <c r="R109" i="2" s="1"/>
  <c r="S109" i="2" s="1"/>
  <c r="T109" i="2" s="1"/>
  <c r="U109" i="2" s="1"/>
  <c r="V109" i="2" s="1"/>
  <c r="W109" i="2" s="1"/>
  <c r="X109" i="2" s="1"/>
  <c r="Y109" i="2" s="1"/>
  <c r="Z109" i="2" s="1"/>
  <c r="AA109" i="2" s="1"/>
  <c r="AB109" i="2" s="1"/>
  <c r="AC109" i="2" s="1"/>
  <c r="AD109" i="2" s="1"/>
  <c r="AE109" i="2" s="1"/>
  <c r="AF109" i="2" s="1"/>
  <c r="AG109" i="2" s="1"/>
  <c r="AH109" i="2" s="1"/>
  <c r="AI109" i="2" s="1"/>
  <c r="AJ109" i="2" s="1"/>
  <c r="AK109" i="2" s="1"/>
  <c r="AL109" i="2" s="1"/>
  <c r="AM109" i="2" s="1"/>
  <c r="AN109" i="2" s="1"/>
  <c r="AO109" i="2" s="1"/>
  <c r="AP109" i="2" s="1"/>
  <c r="AQ109" i="2" s="1"/>
  <c r="AR109" i="2" s="1"/>
  <c r="AS109" i="2" s="1"/>
  <c r="AT109" i="2" s="1"/>
  <c r="AU109" i="2" s="1"/>
  <c r="AV109" i="2" s="1"/>
  <c r="AW109" i="2" s="1"/>
  <c r="AX109" i="2" s="1"/>
  <c r="AY109" i="2" s="1"/>
  <c r="AZ109" i="2" s="1"/>
  <c r="BA109" i="2" s="1"/>
  <c r="BB109" i="2" s="1"/>
  <c r="BC109" i="2" s="1"/>
  <c r="BD109" i="2" s="1"/>
  <c r="BE109" i="2" s="1"/>
  <c r="BF109" i="2" s="1"/>
  <c r="BG109" i="2" s="1"/>
  <c r="BH109" i="2" s="1"/>
  <c r="BI109" i="2" s="1"/>
  <c r="BJ109" i="2" s="1"/>
  <c r="J109" i="2"/>
  <c r="BL107" i="2"/>
  <c r="K106" i="2"/>
  <c r="L106" i="2" s="1"/>
  <c r="M106" i="2" s="1"/>
  <c r="N106" i="2" s="1"/>
  <c r="O106" i="2" s="1"/>
  <c r="P106" i="2" s="1"/>
  <c r="Q106" i="2" s="1"/>
  <c r="R106" i="2" s="1"/>
  <c r="S106" i="2" s="1"/>
  <c r="T106" i="2" s="1"/>
  <c r="U106" i="2" s="1"/>
  <c r="V106" i="2" s="1"/>
  <c r="W106" i="2" s="1"/>
  <c r="X106" i="2" s="1"/>
  <c r="Y106" i="2" s="1"/>
  <c r="Z106" i="2" s="1"/>
  <c r="AA106" i="2" s="1"/>
  <c r="AB106" i="2" s="1"/>
  <c r="AC106" i="2" s="1"/>
  <c r="AD106" i="2" s="1"/>
  <c r="AE106" i="2" s="1"/>
  <c r="AF106" i="2" s="1"/>
  <c r="AG106" i="2" s="1"/>
  <c r="AH106" i="2" s="1"/>
  <c r="AI106" i="2" s="1"/>
  <c r="AJ106" i="2" s="1"/>
  <c r="AK106" i="2" s="1"/>
  <c r="AL106" i="2" s="1"/>
  <c r="AM106" i="2" s="1"/>
  <c r="AN106" i="2" s="1"/>
  <c r="AO106" i="2" s="1"/>
  <c r="AP106" i="2" s="1"/>
  <c r="AQ106" i="2" s="1"/>
  <c r="AR106" i="2" s="1"/>
  <c r="AS106" i="2" s="1"/>
  <c r="AT106" i="2" s="1"/>
  <c r="AU106" i="2" s="1"/>
  <c r="AV106" i="2" s="1"/>
  <c r="AW106" i="2" s="1"/>
  <c r="AX106" i="2" s="1"/>
  <c r="AY106" i="2" s="1"/>
  <c r="AZ106" i="2" s="1"/>
  <c r="BA106" i="2" s="1"/>
  <c r="BB106" i="2" s="1"/>
  <c r="BC106" i="2" s="1"/>
  <c r="BD106" i="2" s="1"/>
  <c r="BE106" i="2" s="1"/>
  <c r="BF106" i="2" s="1"/>
  <c r="BG106" i="2" s="1"/>
  <c r="BH106" i="2" s="1"/>
  <c r="BI106" i="2" s="1"/>
  <c r="BJ106" i="2" s="1"/>
  <c r="J106" i="2"/>
  <c r="BL104" i="2"/>
  <c r="K103" i="2"/>
  <c r="L103" i="2" s="1"/>
  <c r="M103" i="2" s="1"/>
  <c r="N103" i="2" s="1"/>
  <c r="O103" i="2" s="1"/>
  <c r="P103" i="2" s="1"/>
  <c r="Q103" i="2" s="1"/>
  <c r="R103" i="2" s="1"/>
  <c r="S103" i="2" s="1"/>
  <c r="T103" i="2" s="1"/>
  <c r="U103" i="2" s="1"/>
  <c r="V103" i="2" s="1"/>
  <c r="W103" i="2" s="1"/>
  <c r="X103" i="2" s="1"/>
  <c r="Y103" i="2" s="1"/>
  <c r="Z103" i="2" s="1"/>
  <c r="AA103" i="2" s="1"/>
  <c r="AB103" i="2" s="1"/>
  <c r="AC103" i="2" s="1"/>
  <c r="AD103" i="2" s="1"/>
  <c r="AE103" i="2" s="1"/>
  <c r="AF103" i="2" s="1"/>
  <c r="AG103" i="2" s="1"/>
  <c r="AH103" i="2" s="1"/>
  <c r="AI103" i="2" s="1"/>
  <c r="AJ103" i="2" s="1"/>
  <c r="AK103" i="2" s="1"/>
  <c r="AL103" i="2" s="1"/>
  <c r="AM103" i="2" s="1"/>
  <c r="AN103" i="2" s="1"/>
  <c r="AO103" i="2" s="1"/>
  <c r="AP103" i="2" s="1"/>
  <c r="AQ103" i="2" s="1"/>
  <c r="AR103" i="2" s="1"/>
  <c r="AS103" i="2" s="1"/>
  <c r="AT103" i="2" s="1"/>
  <c r="AU103" i="2" s="1"/>
  <c r="AV103" i="2" s="1"/>
  <c r="AW103" i="2" s="1"/>
  <c r="AX103" i="2" s="1"/>
  <c r="AY103" i="2" s="1"/>
  <c r="AZ103" i="2" s="1"/>
  <c r="BA103" i="2" s="1"/>
  <c r="BB103" i="2" s="1"/>
  <c r="BC103" i="2" s="1"/>
  <c r="BD103" i="2" s="1"/>
  <c r="BE103" i="2" s="1"/>
  <c r="BF103" i="2" s="1"/>
  <c r="BG103" i="2" s="1"/>
  <c r="BH103" i="2" s="1"/>
  <c r="BI103" i="2" s="1"/>
  <c r="BJ103" i="2" s="1"/>
  <c r="J103" i="2"/>
  <c r="BL101" i="2"/>
  <c r="K100" i="2"/>
  <c r="L100" i="2" s="1"/>
  <c r="M100" i="2" s="1"/>
  <c r="N100" i="2" s="1"/>
  <c r="O100" i="2" s="1"/>
  <c r="P100" i="2" s="1"/>
  <c r="Q100" i="2" s="1"/>
  <c r="R100" i="2" s="1"/>
  <c r="S100" i="2" s="1"/>
  <c r="T100" i="2" s="1"/>
  <c r="U100" i="2" s="1"/>
  <c r="V100" i="2" s="1"/>
  <c r="W100" i="2" s="1"/>
  <c r="X100" i="2" s="1"/>
  <c r="Y100" i="2" s="1"/>
  <c r="Z100" i="2" s="1"/>
  <c r="AA100" i="2" s="1"/>
  <c r="AB100" i="2" s="1"/>
  <c r="AC100" i="2" s="1"/>
  <c r="AD100" i="2" s="1"/>
  <c r="AE100" i="2" s="1"/>
  <c r="AF100" i="2" s="1"/>
  <c r="AG100" i="2" s="1"/>
  <c r="AH100" i="2" s="1"/>
  <c r="AI100" i="2" s="1"/>
  <c r="AJ100" i="2" s="1"/>
  <c r="AK100" i="2" s="1"/>
  <c r="AL100" i="2" s="1"/>
  <c r="AM100" i="2" s="1"/>
  <c r="AN100" i="2" s="1"/>
  <c r="AO100" i="2" s="1"/>
  <c r="AP100" i="2" s="1"/>
  <c r="AQ100" i="2" s="1"/>
  <c r="AR100" i="2" s="1"/>
  <c r="AS100" i="2" s="1"/>
  <c r="AT100" i="2" s="1"/>
  <c r="AU100" i="2" s="1"/>
  <c r="AV100" i="2" s="1"/>
  <c r="AW100" i="2" s="1"/>
  <c r="AX100" i="2" s="1"/>
  <c r="AY100" i="2" s="1"/>
  <c r="AZ100" i="2" s="1"/>
  <c r="BA100" i="2" s="1"/>
  <c r="BB100" i="2" s="1"/>
  <c r="BC100" i="2" s="1"/>
  <c r="BD100" i="2" s="1"/>
  <c r="BE100" i="2" s="1"/>
  <c r="BF100" i="2" s="1"/>
  <c r="BG100" i="2" s="1"/>
  <c r="BH100" i="2" s="1"/>
  <c r="BI100" i="2" s="1"/>
  <c r="BJ100" i="2" s="1"/>
  <c r="J100" i="2"/>
  <c r="BL98" i="2"/>
  <c r="K97" i="2"/>
  <c r="L97" i="2" s="1"/>
  <c r="M97" i="2" s="1"/>
  <c r="N97" i="2" s="1"/>
  <c r="O97" i="2" s="1"/>
  <c r="P97" i="2" s="1"/>
  <c r="Q97" i="2" s="1"/>
  <c r="R97" i="2" s="1"/>
  <c r="S97" i="2" s="1"/>
  <c r="T97" i="2" s="1"/>
  <c r="U97" i="2" s="1"/>
  <c r="V97" i="2" s="1"/>
  <c r="W97" i="2" s="1"/>
  <c r="X97" i="2" s="1"/>
  <c r="Y97" i="2" s="1"/>
  <c r="Z97" i="2" s="1"/>
  <c r="AA97" i="2" s="1"/>
  <c r="AB97" i="2" s="1"/>
  <c r="AC97" i="2" s="1"/>
  <c r="AD97" i="2" s="1"/>
  <c r="AE97" i="2" s="1"/>
  <c r="AF97" i="2" s="1"/>
  <c r="AG97" i="2" s="1"/>
  <c r="AH97" i="2" s="1"/>
  <c r="AI97" i="2" s="1"/>
  <c r="AJ97" i="2" s="1"/>
  <c r="AK97" i="2" s="1"/>
  <c r="AL97" i="2" s="1"/>
  <c r="AM97" i="2" s="1"/>
  <c r="AN97" i="2" s="1"/>
  <c r="AO97" i="2" s="1"/>
  <c r="AP97" i="2" s="1"/>
  <c r="AQ97" i="2" s="1"/>
  <c r="AR97" i="2" s="1"/>
  <c r="AS97" i="2" s="1"/>
  <c r="AT97" i="2" s="1"/>
  <c r="AU97" i="2" s="1"/>
  <c r="AV97" i="2" s="1"/>
  <c r="AW97" i="2" s="1"/>
  <c r="AX97" i="2" s="1"/>
  <c r="AY97" i="2" s="1"/>
  <c r="AZ97" i="2" s="1"/>
  <c r="BA97" i="2" s="1"/>
  <c r="BB97" i="2" s="1"/>
  <c r="BC97" i="2" s="1"/>
  <c r="BD97" i="2" s="1"/>
  <c r="BE97" i="2" s="1"/>
  <c r="BF97" i="2" s="1"/>
  <c r="BG97" i="2" s="1"/>
  <c r="BH97" i="2" s="1"/>
  <c r="BI97" i="2" s="1"/>
  <c r="BJ97" i="2" s="1"/>
  <c r="J97" i="2"/>
  <c r="BL95" i="2"/>
  <c r="K94" i="2"/>
  <c r="L94" i="2" s="1"/>
  <c r="M94" i="2" s="1"/>
  <c r="N94" i="2" s="1"/>
  <c r="O94" i="2" s="1"/>
  <c r="P94" i="2" s="1"/>
  <c r="Q94" i="2" s="1"/>
  <c r="R94" i="2" s="1"/>
  <c r="S94" i="2" s="1"/>
  <c r="T94" i="2" s="1"/>
  <c r="U94" i="2" s="1"/>
  <c r="V94" i="2" s="1"/>
  <c r="W94" i="2" s="1"/>
  <c r="X94" i="2" s="1"/>
  <c r="Y94" i="2" s="1"/>
  <c r="Z94" i="2" s="1"/>
  <c r="AA94" i="2" s="1"/>
  <c r="AB94" i="2" s="1"/>
  <c r="AC94" i="2" s="1"/>
  <c r="AD94" i="2" s="1"/>
  <c r="AE94" i="2" s="1"/>
  <c r="AF94" i="2" s="1"/>
  <c r="AG94" i="2" s="1"/>
  <c r="AH94" i="2" s="1"/>
  <c r="AI94" i="2" s="1"/>
  <c r="AJ94" i="2" s="1"/>
  <c r="AK94" i="2" s="1"/>
  <c r="AL94" i="2" s="1"/>
  <c r="AM94" i="2" s="1"/>
  <c r="AN94" i="2" s="1"/>
  <c r="AO94" i="2" s="1"/>
  <c r="AP94" i="2" s="1"/>
  <c r="AQ94" i="2" s="1"/>
  <c r="AR94" i="2" s="1"/>
  <c r="AS94" i="2" s="1"/>
  <c r="AT94" i="2" s="1"/>
  <c r="AU94" i="2" s="1"/>
  <c r="AV94" i="2" s="1"/>
  <c r="AW94" i="2" s="1"/>
  <c r="AX94" i="2" s="1"/>
  <c r="AY94" i="2" s="1"/>
  <c r="AZ94" i="2" s="1"/>
  <c r="BA94" i="2" s="1"/>
  <c r="BB94" i="2" s="1"/>
  <c r="BC94" i="2" s="1"/>
  <c r="BD94" i="2" s="1"/>
  <c r="BE94" i="2" s="1"/>
  <c r="BF94" i="2" s="1"/>
  <c r="BG94" i="2" s="1"/>
  <c r="BH94" i="2" s="1"/>
  <c r="BI94" i="2" s="1"/>
  <c r="BJ94" i="2" s="1"/>
  <c r="J94" i="2"/>
  <c r="BL92" i="2"/>
  <c r="K91" i="2"/>
  <c r="L91" i="2" s="1"/>
  <c r="M91" i="2" s="1"/>
  <c r="N91" i="2" s="1"/>
  <c r="O91" i="2" s="1"/>
  <c r="P91" i="2" s="1"/>
  <c r="Q91" i="2" s="1"/>
  <c r="R91" i="2" s="1"/>
  <c r="S91" i="2" s="1"/>
  <c r="T91" i="2" s="1"/>
  <c r="U91" i="2" s="1"/>
  <c r="V91" i="2" s="1"/>
  <c r="W91" i="2" s="1"/>
  <c r="X91" i="2" s="1"/>
  <c r="Y91" i="2" s="1"/>
  <c r="Z91" i="2" s="1"/>
  <c r="AA91" i="2" s="1"/>
  <c r="AB91" i="2" s="1"/>
  <c r="AC91" i="2" s="1"/>
  <c r="AD91" i="2" s="1"/>
  <c r="AE91" i="2" s="1"/>
  <c r="AF91" i="2" s="1"/>
  <c r="AG91" i="2" s="1"/>
  <c r="AH91" i="2" s="1"/>
  <c r="AI91" i="2" s="1"/>
  <c r="AJ91" i="2" s="1"/>
  <c r="AK91" i="2" s="1"/>
  <c r="AL91" i="2" s="1"/>
  <c r="AM91" i="2" s="1"/>
  <c r="AN91" i="2" s="1"/>
  <c r="AO91" i="2" s="1"/>
  <c r="AP91" i="2" s="1"/>
  <c r="AQ91" i="2" s="1"/>
  <c r="AR91" i="2" s="1"/>
  <c r="AS91" i="2" s="1"/>
  <c r="AT91" i="2" s="1"/>
  <c r="AU91" i="2" s="1"/>
  <c r="AV91" i="2" s="1"/>
  <c r="AW91" i="2" s="1"/>
  <c r="AX91" i="2" s="1"/>
  <c r="AY91" i="2" s="1"/>
  <c r="AZ91" i="2" s="1"/>
  <c r="BA91" i="2" s="1"/>
  <c r="BB91" i="2" s="1"/>
  <c r="BC91" i="2" s="1"/>
  <c r="BD91" i="2" s="1"/>
  <c r="BE91" i="2" s="1"/>
  <c r="BF91" i="2" s="1"/>
  <c r="BG91" i="2" s="1"/>
  <c r="BH91" i="2" s="1"/>
  <c r="BI91" i="2" s="1"/>
  <c r="BJ91" i="2" s="1"/>
  <c r="J91" i="2"/>
  <c r="BL89" i="2"/>
  <c r="K88" i="2"/>
  <c r="L88" i="2" s="1"/>
  <c r="M88" i="2" s="1"/>
  <c r="N88" i="2" s="1"/>
  <c r="O88" i="2" s="1"/>
  <c r="P88" i="2" s="1"/>
  <c r="Q88" i="2" s="1"/>
  <c r="R88" i="2" s="1"/>
  <c r="S88" i="2" s="1"/>
  <c r="T88" i="2" s="1"/>
  <c r="U88" i="2" s="1"/>
  <c r="V88" i="2" s="1"/>
  <c r="W88" i="2" s="1"/>
  <c r="X88" i="2" s="1"/>
  <c r="Y88" i="2" s="1"/>
  <c r="Z88" i="2" s="1"/>
  <c r="AA88" i="2" s="1"/>
  <c r="AB88" i="2" s="1"/>
  <c r="AC88" i="2" s="1"/>
  <c r="AD88" i="2" s="1"/>
  <c r="AE88" i="2" s="1"/>
  <c r="AF88" i="2" s="1"/>
  <c r="AG88" i="2" s="1"/>
  <c r="AH88" i="2" s="1"/>
  <c r="AI88" i="2" s="1"/>
  <c r="AJ88" i="2" s="1"/>
  <c r="AK88" i="2" s="1"/>
  <c r="AL88" i="2" s="1"/>
  <c r="AM88" i="2" s="1"/>
  <c r="AN88" i="2" s="1"/>
  <c r="AO88" i="2" s="1"/>
  <c r="AP88" i="2" s="1"/>
  <c r="AQ88" i="2" s="1"/>
  <c r="AR88" i="2" s="1"/>
  <c r="AS88" i="2" s="1"/>
  <c r="AT88" i="2" s="1"/>
  <c r="AU88" i="2" s="1"/>
  <c r="AV88" i="2" s="1"/>
  <c r="AW88" i="2" s="1"/>
  <c r="AX88" i="2" s="1"/>
  <c r="AY88" i="2" s="1"/>
  <c r="AZ88" i="2" s="1"/>
  <c r="BA88" i="2" s="1"/>
  <c r="BB88" i="2" s="1"/>
  <c r="BC88" i="2" s="1"/>
  <c r="BD88" i="2" s="1"/>
  <c r="BE88" i="2" s="1"/>
  <c r="BF88" i="2" s="1"/>
  <c r="BG88" i="2" s="1"/>
  <c r="BH88" i="2" s="1"/>
  <c r="BI88" i="2" s="1"/>
  <c r="BJ88" i="2" s="1"/>
  <c r="J88" i="2"/>
  <c r="BL86" i="2"/>
  <c r="K85" i="2"/>
  <c r="L85" i="2" s="1"/>
  <c r="M85" i="2" s="1"/>
  <c r="N85" i="2" s="1"/>
  <c r="O85" i="2" s="1"/>
  <c r="P85" i="2" s="1"/>
  <c r="Q85" i="2" s="1"/>
  <c r="R85" i="2" s="1"/>
  <c r="S85" i="2" s="1"/>
  <c r="T85" i="2" s="1"/>
  <c r="U85" i="2" s="1"/>
  <c r="V85" i="2" s="1"/>
  <c r="W85" i="2" s="1"/>
  <c r="X85" i="2" s="1"/>
  <c r="Y85" i="2" s="1"/>
  <c r="Z85" i="2" s="1"/>
  <c r="AA85" i="2" s="1"/>
  <c r="AB85" i="2" s="1"/>
  <c r="AC85" i="2" s="1"/>
  <c r="AD85" i="2" s="1"/>
  <c r="AE85" i="2" s="1"/>
  <c r="AF85" i="2" s="1"/>
  <c r="AG85" i="2" s="1"/>
  <c r="AH85" i="2" s="1"/>
  <c r="AI85" i="2" s="1"/>
  <c r="AJ85" i="2" s="1"/>
  <c r="AK85" i="2" s="1"/>
  <c r="AL85" i="2" s="1"/>
  <c r="AM85" i="2" s="1"/>
  <c r="AN85" i="2" s="1"/>
  <c r="AO85" i="2" s="1"/>
  <c r="AP85" i="2" s="1"/>
  <c r="AQ85" i="2" s="1"/>
  <c r="AR85" i="2" s="1"/>
  <c r="AS85" i="2" s="1"/>
  <c r="AT85" i="2" s="1"/>
  <c r="AU85" i="2" s="1"/>
  <c r="AV85" i="2" s="1"/>
  <c r="AW85" i="2" s="1"/>
  <c r="AX85" i="2" s="1"/>
  <c r="AY85" i="2" s="1"/>
  <c r="AZ85" i="2" s="1"/>
  <c r="BA85" i="2" s="1"/>
  <c r="BB85" i="2" s="1"/>
  <c r="BC85" i="2" s="1"/>
  <c r="BD85" i="2" s="1"/>
  <c r="BE85" i="2" s="1"/>
  <c r="BF85" i="2" s="1"/>
  <c r="BG85" i="2" s="1"/>
  <c r="BH85" i="2" s="1"/>
  <c r="BI85" i="2" s="1"/>
  <c r="BJ85" i="2" s="1"/>
  <c r="J85" i="2"/>
  <c r="BL83" i="2"/>
  <c r="K82" i="2"/>
  <c r="L82" i="2" s="1"/>
  <c r="M82" i="2" s="1"/>
  <c r="N82" i="2" s="1"/>
  <c r="O82" i="2" s="1"/>
  <c r="P82" i="2" s="1"/>
  <c r="Q82" i="2" s="1"/>
  <c r="R82" i="2" s="1"/>
  <c r="S82" i="2" s="1"/>
  <c r="T82" i="2" s="1"/>
  <c r="U82" i="2" s="1"/>
  <c r="V82" i="2" s="1"/>
  <c r="W82" i="2" s="1"/>
  <c r="X82" i="2" s="1"/>
  <c r="Y82" i="2" s="1"/>
  <c r="Z82" i="2" s="1"/>
  <c r="AA82" i="2" s="1"/>
  <c r="AB82" i="2" s="1"/>
  <c r="AC82" i="2" s="1"/>
  <c r="AD82" i="2" s="1"/>
  <c r="AE82" i="2" s="1"/>
  <c r="AF82" i="2" s="1"/>
  <c r="AG82" i="2" s="1"/>
  <c r="AH82" i="2" s="1"/>
  <c r="AI82" i="2" s="1"/>
  <c r="AJ82" i="2" s="1"/>
  <c r="AK82" i="2" s="1"/>
  <c r="AL82" i="2" s="1"/>
  <c r="AM82" i="2" s="1"/>
  <c r="AN82" i="2" s="1"/>
  <c r="AO82" i="2" s="1"/>
  <c r="AP82" i="2" s="1"/>
  <c r="AQ82" i="2" s="1"/>
  <c r="AR82" i="2" s="1"/>
  <c r="AS82" i="2" s="1"/>
  <c r="AT82" i="2" s="1"/>
  <c r="AU82" i="2" s="1"/>
  <c r="AV82" i="2" s="1"/>
  <c r="AW82" i="2" s="1"/>
  <c r="AX82" i="2" s="1"/>
  <c r="AY82" i="2" s="1"/>
  <c r="AZ82" i="2" s="1"/>
  <c r="BA82" i="2" s="1"/>
  <c r="BB82" i="2" s="1"/>
  <c r="BC82" i="2" s="1"/>
  <c r="BD82" i="2" s="1"/>
  <c r="BE82" i="2" s="1"/>
  <c r="BF82" i="2" s="1"/>
  <c r="BG82" i="2" s="1"/>
  <c r="BH82" i="2" s="1"/>
  <c r="BI82" i="2" s="1"/>
  <c r="BJ82" i="2" s="1"/>
  <c r="J82" i="2"/>
  <c r="BL80" i="2"/>
  <c r="K79" i="2"/>
  <c r="L79" i="2" s="1"/>
  <c r="M79" i="2" s="1"/>
  <c r="N79" i="2" s="1"/>
  <c r="O79" i="2" s="1"/>
  <c r="P79" i="2" s="1"/>
  <c r="Q79" i="2" s="1"/>
  <c r="R79" i="2" s="1"/>
  <c r="S79" i="2" s="1"/>
  <c r="T79" i="2" s="1"/>
  <c r="U79" i="2" s="1"/>
  <c r="V79" i="2" s="1"/>
  <c r="W79" i="2" s="1"/>
  <c r="X79" i="2" s="1"/>
  <c r="Y79" i="2" s="1"/>
  <c r="Z79" i="2" s="1"/>
  <c r="AA79" i="2" s="1"/>
  <c r="AB79" i="2" s="1"/>
  <c r="AC79" i="2" s="1"/>
  <c r="AD79" i="2" s="1"/>
  <c r="AE79" i="2" s="1"/>
  <c r="AF79" i="2" s="1"/>
  <c r="AG79" i="2" s="1"/>
  <c r="AH79" i="2" s="1"/>
  <c r="AI79" i="2" s="1"/>
  <c r="AJ79" i="2" s="1"/>
  <c r="AK79" i="2" s="1"/>
  <c r="AL79" i="2" s="1"/>
  <c r="AM79" i="2" s="1"/>
  <c r="AN79" i="2" s="1"/>
  <c r="AO79" i="2" s="1"/>
  <c r="AP79" i="2" s="1"/>
  <c r="AQ79" i="2" s="1"/>
  <c r="AR79" i="2" s="1"/>
  <c r="AS79" i="2" s="1"/>
  <c r="AT79" i="2" s="1"/>
  <c r="AU79" i="2" s="1"/>
  <c r="AV79" i="2" s="1"/>
  <c r="AW79" i="2" s="1"/>
  <c r="AX79" i="2" s="1"/>
  <c r="AY79" i="2" s="1"/>
  <c r="AZ79" i="2" s="1"/>
  <c r="BA79" i="2" s="1"/>
  <c r="BB79" i="2" s="1"/>
  <c r="BC79" i="2" s="1"/>
  <c r="BD79" i="2" s="1"/>
  <c r="BE79" i="2" s="1"/>
  <c r="BF79" i="2" s="1"/>
  <c r="BG79" i="2" s="1"/>
  <c r="BH79" i="2" s="1"/>
  <c r="BI79" i="2" s="1"/>
  <c r="BJ79" i="2" s="1"/>
  <c r="J79" i="2"/>
  <c r="BL77" i="2"/>
  <c r="K76" i="2"/>
  <c r="L76" i="2" s="1"/>
  <c r="M76" i="2" s="1"/>
  <c r="N76" i="2" s="1"/>
  <c r="O76" i="2" s="1"/>
  <c r="P76" i="2" s="1"/>
  <c r="Q76" i="2" s="1"/>
  <c r="R76" i="2" s="1"/>
  <c r="S76" i="2" s="1"/>
  <c r="T76" i="2" s="1"/>
  <c r="U76" i="2" s="1"/>
  <c r="V76" i="2" s="1"/>
  <c r="W76" i="2" s="1"/>
  <c r="X76" i="2" s="1"/>
  <c r="Y76" i="2" s="1"/>
  <c r="Z76" i="2" s="1"/>
  <c r="AA76" i="2" s="1"/>
  <c r="AB76" i="2" s="1"/>
  <c r="AC76" i="2" s="1"/>
  <c r="AD76" i="2" s="1"/>
  <c r="AE76" i="2" s="1"/>
  <c r="AF76" i="2" s="1"/>
  <c r="AG76" i="2" s="1"/>
  <c r="AH76" i="2" s="1"/>
  <c r="AI76" i="2" s="1"/>
  <c r="AJ76" i="2" s="1"/>
  <c r="AK76" i="2" s="1"/>
  <c r="AL76" i="2" s="1"/>
  <c r="AM76" i="2" s="1"/>
  <c r="AN76" i="2" s="1"/>
  <c r="AO76" i="2" s="1"/>
  <c r="AP76" i="2" s="1"/>
  <c r="AQ76" i="2" s="1"/>
  <c r="AR76" i="2" s="1"/>
  <c r="AS76" i="2" s="1"/>
  <c r="AT76" i="2" s="1"/>
  <c r="AU76" i="2" s="1"/>
  <c r="AV76" i="2" s="1"/>
  <c r="AW76" i="2" s="1"/>
  <c r="AX76" i="2" s="1"/>
  <c r="AY76" i="2" s="1"/>
  <c r="AZ76" i="2" s="1"/>
  <c r="BA76" i="2" s="1"/>
  <c r="BB76" i="2" s="1"/>
  <c r="BC76" i="2" s="1"/>
  <c r="BD76" i="2" s="1"/>
  <c r="BE76" i="2" s="1"/>
  <c r="BF76" i="2" s="1"/>
  <c r="BG76" i="2" s="1"/>
  <c r="BH76" i="2" s="1"/>
  <c r="BI76" i="2" s="1"/>
  <c r="BJ76" i="2" s="1"/>
  <c r="J76" i="2"/>
  <c r="BL74" i="2"/>
  <c r="K73" i="2"/>
  <c r="L73" i="2" s="1"/>
  <c r="M73" i="2" s="1"/>
  <c r="N73" i="2" s="1"/>
  <c r="O73" i="2" s="1"/>
  <c r="P73" i="2" s="1"/>
  <c r="Q73" i="2" s="1"/>
  <c r="R73" i="2" s="1"/>
  <c r="S73" i="2" s="1"/>
  <c r="T73" i="2" s="1"/>
  <c r="U73" i="2" s="1"/>
  <c r="V73" i="2" s="1"/>
  <c r="W73" i="2" s="1"/>
  <c r="X73" i="2" s="1"/>
  <c r="Y73" i="2" s="1"/>
  <c r="Z73" i="2" s="1"/>
  <c r="AA73" i="2" s="1"/>
  <c r="AB73" i="2" s="1"/>
  <c r="AC73" i="2" s="1"/>
  <c r="AD73" i="2" s="1"/>
  <c r="AE73" i="2" s="1"/>
  <c r="AF73" i="2" s="1"/>
  <c r="AG73" i="2" s="1"/>
  <c r="AH73" i="2" s="1"/>
  <c r="AI73" i="2" s="1"/>
  <c r="AJ73" i="2" s="1"/>
  <c r="AK73" i="2" s="1"/>
  <c r="AL73" i="2" s="1"/>
  <c r="AM73" i="2" s="1"/>
  <c r="AN73" i="2" s="1"/>
  <c r="AO73" i="2" s="1"/>
  <c r="AP73" i="2" s="1"/>
  <c r="AQ73" i="2" s="1"/>
  <c r="AR73" i="2" s="1"/>
  <c r="AS73" i="2" s="1"/>
  <c r="AT73" i="2" s="1"/>
  <c r="AU73" i="2" s="1"/>
  <c r="AV73" i="2" s="1"/>
  <c r="AW73" i="2" s="1"/>
  <c r="AX73" i="2" s="1"/>
  <c r="AY73" i="2" s="1"/>
  <c r="AZ73" i="2" s="1"/>
  <c r="BA73" i="2" s="1"/>
  <c r="BB73" i="2" s="1"/>
  <c r="BC73" i="2" s="1"/>
  <c r="BD73" i="2" s="1"/>
  <c r="BE73" i="2" s="1"/>
  <c r="BF73" i="2" s="1"/>
  <c r="BG73" i="2" s="1"/>
  <c r="BH73" i="2" s="1"/>
  <c r="BI73" i="2" s="1"/>
  <c r="BJ73" i="2" s="1"/>
  <c r="J73" i="2"/>
  <c r="BL71" i="2"/>
  <c r="K70" i="2"/>
  <c r="L70" i="2" s="1"/>
  <c r="M70" i="2" s="1"/>
  <c r="N70" i="2" s="1"/>
  <c r="O70" i="2" s="1"/>
  <c r="P70" i="2" s="1"/>
  <c r="Q70" i="2" s="1"/>
  <c r="R70" i="2" s="1"/>
  <c r="S70" i="2" s="1"/>
  <c r="T70" i="2" s="1"/>
  <c r="U70" i="2" s="1"/>
  <c r="V70" i="2" s="1"/>
  <c r="W70" i="2" s="1"/>
  <c r="X70" i="2" s="1"/>
  <c r="Y70" i="2" s="1"/>
  <c r="Z70" i="2" s="1"/>
  <c r="AA70" i="2" s="1"/>
  <c r="AB70" i="2" s="1"/>
  <c r="AC70" i="2" s="1"/>
  <c r="AD70" i="2" s="1"/>
  <c r="AE70" i="2" s="1"/>
  <c r="AF70" i="2" s="1"/>
  <c r="AG70" i="2" s="1"/>
  <c r="AH70" i="2" s="1"/>
  <c r="AI70" i="2" s="1"/>
  <c r="AJ70" i="2" s="1"/>
  <c r="AK70" i="2" s="1"/>
  <c r="AL70" i="2" s="1"/>
  <c r="AM70" i="2" s="1"/>
  <c r="AN70" i="2" s="1"/>
  <c r="AO70" i="2" s="1"/>
  <c r="AP70" i="2" s="1"/>
  <c r="AQ70" i="2" s="1"/>
  <c r="AR70" i="2" s="1"/>
  <c r="AS70" i="2" s="1"/>
  <c r="AT70" i="2" s="1"/>
  <c r="AU70" i="2" s="1"/>
  <c r="AV70" i="2" s="1"/>
  <c r="AW70" i="2" s="1"/>
  <c r="AX70" i="2" s="1"/>
  <c r="AY70" i="2" s="1"/>
  <c r="AZ70" i="2" s="1"/>
  <c r="BA70" i="2" s="1"/>
  <c r="BB70" i="2" s="1"/>
  <c r="BC70" i="2" s="1"/>
  <c r="BD70" i="2" s="1"/>
  <c r="BE70" i="2" s="1"/>
  <c r="BF70" i="2" s="1"/>
  <c r="BG70" i="2" s="1"/>
  <c r="BH70" i="2" s="1"/>
  <c r="BI70" i="2" s="1"/>
  <c r="BJ70" i="2" s="1"/>
  <c r="J70" i="2"/>
  <c r="BL68" i="2"/>
  <c r="K67" i="2"/>
  <c r="L67" i="2" s="1"/>
  <c r="M67" i="2" s="1"/>
  <c r="N67" i="2" s="1"/>
  <c r="O67" i="2" s="1"/>
  <c r="P67" i="2" s="1"/>
  <c r="Q67" i="2" s="1"/>
  <c r="R67" i="2" s="1"/>
  <c r="S67" i="2" s="1"/>
  <c r="T67" i="2" s="1"/>
  <c r="U67" i="2" s="1"/>
  <c r="V67" i="2" s="1"/>
  <c r="W67" i="2" s="1"/>
  <c r="X67" i="2" s="1"/>
  <c r="Y67" i="2" s="1"/>
  <c r="Z67" i="2" s="1"/>
  <c r="AA67" i="2" s="1"/>
  <c r="AB67" i="2" s="1"/>
  <c r="AC67" i="2" s="1"/>
  <c r="AD67" i="2" s="1"/>
  <c r="AE67" i="2" s="1"/>
  <c r="AF67" i="2" s="1"/>
  <c r="AG67" i="2" s="1"/>
  <c r="AH67" i="2" s="1"/>
  <c r="AI67" i="2" s="1"/>
  <c r="AJ67" i="2" s="1"/>
  <c r="AK67" i="2" s="1"/>
  <c r="AL67" i="2" s="1"/>
  <c r="AM67" i="2" s="1"/>
  <c r="AN67" i="2" s="1"/>
  <c r="AO67" i="2" s="1"/>
  <c r="AP67" i="2" s="1"/>
  <c r="AQ67" i="2" s="1"/>
  <c r="AR67" i="2" s="1"/>
  <c r="AS67" i="2" s="1"/>
  <c r="AT67" i="2" s="1"/>
  <c r="AU67" i="2" s="1"/>
  <c r="AV67" i="2" s="1"/>
  <c r="AW67" i="2" s="1"/>
  <c r="AX67" i="2" s="1"/>
  <c r="AY67" i="2" s="1"/>
  <c r="AZ67" i="2" s="1"/>
  <c r="BA67" i="2" s="1"/>
  <c r="BB67" i="2" s="1"/>
  <c r="BC67" i="2" s="1"/>
  <c r="BD67" i="2" s="1"/>
  <c r="BE67" i="2" s="1"/>
  <c r="BF67" i="2" s="1"/>
  <c r="BG67" i="2" s="1"/>
  <c r="BH67" i="2" s="1"/>
  <c r="BI67" i="2" s="1"/>
  <c r="BJ67" i="2" s="1"/>
  <c r="J67" i="2"/>
  <c r="BL65" i="2"/>
  <c r="K64" i="2"/>
  <c r="L64" i="2" s="1"/>
  <c r="M64" i="2" s="1"/>
  <c r="N64" i="2" s="1"/>
  <c r="O64" i="2" s="1"/>
  <c r="P64" i="2" s="1"/>
  <c r="Q64" i="2" s="1"/>
  <c r="R64" i="2" s="1"/>
  <c r="S64" i="2" s="1"/>
  <c r="T64" i="2" s="1"/>
  <c r="U64" i="2" s="1"/>
  <c r="V64" i="2" s="1"/>
  <c r="W64" i="2" s="1"/>
  <c r="X64" i="2" s="1"/>
  <c r="Y64" i="2" s="1"/>
  <c r="Z64" i="2" s="1"/>
  <c r="AA64" i="2" s="1"/>
  <c r="AB64" i="2" s="1"/>
  <c r="AC64" i="2" s="1"/>
  <c r="AD64" i="2" s="1"/>
  <c r="AE64" i="2" s="1"/>
  <c r="AF64" i="2" s="1"/>
  <c r="AG64" i="2" s="1"/>
  <c r="AH64" i="2" s="1"/>
  <c r="AI64" i="2" s="1"/>
  <c r="AJ64" i="2" s="1"/>
  <c r="AK64" i="2" s="1"/>
  <c r="AL64" i="2" s="1"/>
  <c r="AM64" i="2" s="1"/>
  <c r="AN64" i="2" s="1"/>
  <c r="AO64" i="2" s="1"/>
  <c r="AP64" i="2" s="1"/>
  <c r="AQ64" i="2" s="1"/>
  <c r="AR64" i="2" s="1"/>
  <c r="AS64" i="2" s="1"/>
  <c r="AT64" i="2" s="1"/>
  <c r="AU64" i="2" s="1"/>
  <c r="AV64" i="2" s="1"/>
  <c r="AW64" i="2" s="1"/>
  <c r="AX64" i="2" s="1"/>
  <c r="AY64" i="2" s="1"/>
  <c r="AZ64" i="2" s="1"/>
  <c r="BA64" i="2" s="1"/>
  <c r="BB64" i="2" s="1"/>
  <c r="BC64" i="2" s="1"/>
  <c r="BD64" i="2" s="1"/>
  <c r="BE64" i="2" s="1"/>
  <c r="BF64" i="2" s="1"/>
  <c r="BG64" i="2" s="1"/>
  <c r="BH64" i="2" s="1"/>
  <c r="BI64" i="2" s="1"/>
  <c r="BJ64" i="2" s="1"/>
  <c r="J64" i="2"/>
  <c r="BL62" i="2"/>
  <c r="K61" i="2"/>
  <c r="L61" i="2" s="1"/>
  <c r="M61" i="2" s="1"/>
  <c r="N61" i="2" s="1"/>
  <c r="O61" i="2" s="1"/>
  <c r="P61" i="2" s="1"/>
  <c r="Q61" i="2" s="1"/>
  <c r="R61" i="2" s="1"/>
  <c r="S61" i="2" s="1"/>
  <c r="T61" i="2" s="1"/>
  <c r="U61" i="2" s="1"/>
  <c r="V61" i="2" s="1"/>
  <c r="W61" i="2" s="1"/>
  <c r="X61" i="2" s="1"/>
  <c r="Y61" i="2" s="1"/>
  <c r="Z61" i="2" s="1"/>
  <c r="AA61" i="2" s="1"/>
  <c r="AB61" i="2" s="1"/>
  <c r="AC61" i="2" s="1"/>
  <c r="AD61" i="2" s="1"/>
  <c r="AE61" i="2" s="1"/>
  <c r="AF61" i="2" s="1"/>
  <c r="AG61" i="2" s="1"/>
  <c r="AH61" i="2" s="1"/>
  <c r="AI61" i="2" s="1"/>
  <c r="AJ61" i="2" s="1"/>
  <c r="AK61" i="2" s="1"/>
  <c r="AL61" i="2" s="1"/>
  <c r="AM61" i="2" s="1"/>
  <c r="AN61" i="2" s="1"/>
  <c r="AO61" i="2" s="1"/>
  <c r="AP61" i="2" s="1"/>
  <c r="AQ61" i="2" s="1"/>
  <c r="AR61" i="2" s="1"/>
  <c r="AS61" i="2" s="1"/>
  <c r="AT61" i="2" s="1"/>
  <c r="AU61" i="2" s="1"/>
  <c r="AV61" i="2" s="1"/>
  <c r="AW61" i="2" s="1"/>
  <c r="AX61" i="2" s="1"/>
  <c r="AY61" i="2" s="1"/>
  <c r="AZ61" i="2" s="1"/>
  <c r="BA61" i="2" s="1"/>
  <c r="BB61" i="2" s="1"/>
  <c r="BC61" i="2" s="1"/>
  <c r="BD61" i="2" s="1"/>
  <c r="BE61" i="2" s="1"/>
  <c r="BF61" i="2" s="1"/>
  <c r="BG61" i="2" s="1"/>
  <c r="BH61" i="2" s="1"/>
  <c r="BI61" i="2" s="1"/>
  <c r="BJ61" i="2" s="1"/>
  <c r="J61" i="2"/>
  <c r="BL59" i="2"/>
  <c r="K58" i="2"/>
  <c r="L58" i="2" s="1"/>
  <c r="M58" i="2" s="1"/>
  <c r="N58" i="2" s="1"/>
  <c r="O58" i="2" s="1"/>
  <c r="P58" i="2" s="1"/>
  <c r="Q58" i="2" s="1"/>
  <c r="R58" i="2" s="1"/>
  <c r="S58" i="2" s="1"/>
  <c r="T58" i="2" s="1"/>
  <c r="U58" i="2" s="1"/>
  <c r="V58" i="2" s="1"/>
  <c r="W58" i="2" s="1"/>
  <c r="X58" i="2" s="1"/>
  <c r="Y58" i="2" s="1"/>
  <c r="Z58" i="2" s="1"/>
  <c r="AA58" i="2" s="1"/>
  <c r="AB58" i="2" s="1"/>
  <c r="AC58" i="2" s="1"/>
  <c r="AD58" i="2" s="1"/>
  <c r="AE58" i="2" s="1"/>
  <c r="AF58" i="2" s="1"/>
  <c r="AG58" i="2" s="1"/>
  <c r="AH58" i="2" s="1"/>
  <c r="AI58" i="2" s="1"/>
  <c r="AJ58" i="2" s="1"/>
  <c r="AK58" i="2" s="1"/>
  <c r="AL58" i="2" s="1"/>
  <c r="AM58" i="2" s="1"/>
  <c r="AN58" i="2" s="1"/>
  <c r="AO58" i="2" s="1"/>
  <c r="AP58" i="2" s="1"/>
  <c r="AQ58" i="2" s="1"/>
  <c r="AR58" i="2" s="1"/>
  <c r="AS58" i="2" s="1"/>
  <c r="AT58" i="2" s="1"/>
  <c r="AU58" i="2" s="1"/>
  <c r="AV58" i="2" s="1"/>
  <c r="AW58" i="2" s="1"/>
  <c r="AX58" i="2" s="1"/>
  <c r="AY58" i="2" s="1"/>
  <c r="AZ58" i="2" s="1"/>
  <c r="BA58" i="2" s="1"/>
  <c r="BB58" i="2" s="1"/>
  <c r="BC58" i="2" s="1"/>
  <c r="BD58" i="2" s="1"/>
  <c r="BE58" i="2" s="1"/>
  <c r="BF58" i="2" s="1"/>
  <c r="BG58" i="2" s="1"/>
  <c r="BH58" i="2" s="1"/>
  <c r="BI58" i="2" s="1"/>
  <c r="BJ58" i="2" s="1"/>
  <c r="J58" i="2"/>
  <c r="BL56" i="2"/>
  <c r="K55" i="2"/>
  <c r="L55" i="2" s="1"/>
  <c r="M55" i="2" s="1"/>
  <c r="N55" i="2" s="1"/>
  <c r="O55" i="2" s="1"/>
  <c r="P55" i="2" s="1"/>
  <c r="Q55" i="2" s="1"/>
  <c r="R55" i="2" s="1"/>
  <c r="S55" i="2" s="1"/>
  <c r="T55" i="2" s="1"/>
  <c r="U55" i="2" s="1"/>
  <c r="V55" i="2" s="1"/>
  <c r="W55" i="2" s="1"/>
  <c r="X55" i="2" s="1"/>
  <c r="Y55" i="2" s="1"/>
  <c r="Z55" i="2" s="1"/>
  <c r="AA55" i="2" s="1"/>
  <c r="AB55" i="2" s="1"/>
  <c r="AC55" i="2" s="1"/>
  <c r="AD55" i="2" s="1"/>
  <c r="AE55" i="2" s="1"/>
  <c r="AF55" i="2" s="1"/>
  <c r="AG55" i="2" s="1"/>
  <c r="AH55" i="2" s="1"/>
  <c r="AI55" i="2" s="1"/>
  <c r="AJ55" i="2" s="1"/>
  <c r="AK55" i="2" s="1"/>
  <c r="AL55" i="2" s="1"/>
  <c r="AM55" i="2" s="1"/>
  <c r="AN55" i="2" s="1"/>
  <c r="AO55" i="2" s="1"/>
  <c r="AP55" i="2" s="1"/>
  <c r="AQ55" i="2" s="1"/>
  <c r="AR55" i="2" s="1"/>
  <c r="AS55" i="2" s="1"/>
  <c r="AT55" i="2" s="1"/>
  <c r="AU55" i="2" s="1"/>
  <c r="AV55" i="2" s="1"/>
  <c r="AW55" i="2" s="1"/>
  <c r="AX55" i="2" s="1"/>
  <c r="AY55" i="2" s="1"/>
  <c r="AZ55" i="2" s="1"/>
  <c r="BA55" i="2" s="1"/>
  <c r="BB55" i="2" s="1"/>
  <c r="BC55" i="2" s="1"/>
  <c r="BD55" i="2" s="1"/>
  <c r="BE55" i="2" s="1"/>
  <c r="BF55" i="2" s="1"/>
  <c r="BG55" i="2" s="1"/>
  <c r="BH55" i="2" s="1"/>
  <c r="BI55" i="2" s="1"/>
  <c r="BJ55" i="2" s="1"/>
  <c r="J55" i="2"/>
  <c r="BL53" i="2"/>
  <c r="K52" i="2"/>
  <c r="L52" i="2" s="1"/>
  <c r="M52" i="2" s="1"/>
  <c r="N52" i="2" s="1"/>
  <c r="O52" i="2" s="1"/>
  <c r="P52" i="2" s="1"/>
  <c r="Q52" i="2" s="1"/>
  <c r="R52" i="2" s="1"/>
  <c r="S52" i="2" s="1"/>
  <c r="T52" i="2" s="1"/>
  <c r="U52" i="2" s="1"/>
  <c r="V52" i="2" s="1"/>
  <c r="W52" i="2" s="1"/>
  <c r="X52" i="2" s="1"/>
  <c r="Y52" i="2" s="1"/>
  <c r="Z52" i="2" s="1"/>
  <c r="AA52" i="2" s="1"/>
  <c r="AB52" i="2" s="1"/>
  <c r="AC52" i="2" s="1"/>
  <c r="AD52" i="2" s="1"/>
  <c r="AE52" i="2" s="1"/>
  <c r="AF52" i="2" s="1"/>
  <c r="AG52" i="2" s="1"/>
  <c r="AH52" i="2" s="1"/>
  <c r="AI52" i="2" s="1"/>
  <c r="AJ52" i="2" s="1"/>
  <c r="AK52" i="2" s="1"/>
  <c r="AL52" i="2" s="1"/>
  <c r="AM52" i="2" s="1"/>
  <c r="AN52" i="2" s="1"/>
  <c r="AO52" i="2" s="1"/>
  <c r="AP52" i="2" s="1"/>
  <c r="AQ52" i="2" s="1"/>
  <c r="AR52" i="2" s="1"/>
  <c r="AS52" i="2" s="1"/>
  <c r="AT52" i="2" s="1"/>
  <c r="AU52" i="2" s="1"/>
  <c r="AV52" i="2" s="1"/>
  <c r="AW52" i="2" s="1"/>
  <c r="AX52" i="2" s="1"/>
  <c r="AY52" i="2" s="1"/>
  <c r="AZ52" i="2" s="1"/>
  <c r="BA52" i="2" s="1"/>
  <c r="BB52" i="2" s="1"/>
  <c r="BC52" i="2" s="1"/>
  <c r="BD52" i="2" s="1"/>
  <c r="BE52" i="2" s="1"/>
  <c r="BF52" i="2" s="1"/>
  <c r="BG52" i="2" s="1"/>
  <c r="BH52" i="2" s="1"/>
  <c r="BI52" i="2" s="1"/>
  <c r="BJ52" i="2" s="1"/>
  <c r="J52" i="2"/>
  <c r="BL50" i="2"/>
  <c r="K49" i="2"/>
  <c r="L49" i="2" s="1"/>
  <c r="M49" i="2" s="1"/>
  <c r="N49" i="2" s="1"/>
  <c r="O49" i="2" s="1"/>
  <c r="P49" i="2" s="1"/>
  <c r="Q49" i="2" s="1"/>
  <c r="R49" i="2" s="1"/>
  <c r="S49" i="2" s="1"/>
  <c r="T49" i="2" s="1"/>
  <c r="U49" i="2" s="1"/>
  <c r="V49" i="2" s="1"/>
  <c r="W49" i="2" s="1"/>
  <c r="X49" i="2" s="1"/>
  <c r="Y49" i="2" s="1"/>
  <c r="Z49" i="2" s="1"/>
  <c r="AA49" i="2" s="1"/>
  <c r="AB49" i="2" s="1"/>
  <c r="AC49" i="2" s="1"/>
  <c r="AD49" i="2" s="1"/>
  <c r="AE49" i="2" s="1"/>
  <c r="AF49" i="2" s="1"/>
  <c r="AG49" i="2" s="1"/>
  <c r="AH49" i="2" s="1"/>
  <c r="AI49" i="2" s="1"/>
  <c r="AJ49" i="2" s="1"/>
  <c r="AK49" i="2" s="1"/>
  <c r="AL49" i="2" s="1"/>
  <c r="AM49" i="2" s="1"/>
  <c r="AN49" i="2" s="1"/>
  <c r="AO49" i="2" s="1"/>
  <c r="AP49" i="2" s="1"/>
  <c r="AQ49" i="2" s="1"/>
  <c r="AR49" i="2" s="1"/>
  <c r="AS49" i="2" s="1"/>
  <c r="AT49" i="2" s="1"/>
  <c r="AU49" i="2" s="1"/>
  <c r="AV49" i="2" s="1"/>
  <c r="AW49" i="2" s="1"/>
  <c r="AX49" i="2" s="1"/>
  <c r="AY49" i="2" s="1"/>
  <c r="AZ49" i="2" s="1"/>
  <c r="BA49" i="2" s="1"/>
  <c r="BB49" i="2" s="1"/>
  <c r="BC49" i="2" s="1"/>
  <c r="BD49" i="2" s="1"/>
  <c r="BE49" i="2" s="1"/>
  <c r="BF49" i="2" s="1"/>
  <c r="BG49" i="2" s="1"/>
  <c r="BH49" i="2" s="1"/>
  <c r="BI49" i="2" s="1"/>
  <c r="BJ49" i="2" s="1"/>
  <c r="J49" i="2"/>
  <c r="BL47" i="2"/>
  <c r="K46" i="2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AC46" i="2" s="1"/>
  <c r="AD46" i="2" s="1"/>
  <c r="AE46" i="2" s="1"/>
  <c r="AF46" i="2" s="1"/>
  <c r="AG46" i="2" s="1"/>
  <c r="AH46" i="2" s="1"/>
  <c r="AI46" i="2" s="1"/>
  <c r="AJ46" i="2" s="1"/>
  <c r="AK46" i="2" s="1"/>
  <c r="AL46" i="2" s="1"/>
  <c r="AM46" i="2" s="1"/>
  <c r="AN46" i="2" s="1"/>
  <c r="AO46" i="2" s="1"/>
  <c r="AP46" i="2" s="1"/>
  <c r="AQ46" i="2" s="1"/>
  <c r="AR46" i="2" s="1"/>
  <c r="AS46" i="2" s="1"/>
  <c r="AT46" i="2" s="1"/>
  <c r="AU46" i="2" s="1"/>
  <c r="AV46" i="2" s="1"/>
  <c r="AW46" i="2" s="1"/>
  <c r="AX46" i="2" s="1"/>
  <c r="AY46" i="2" s="1"/>
  <c r="AZ46" i="2" s="1"/>
  <c r="BA46" i="2" s="1"/>
  <c r="BB46" i="2" s="1"/>
  <c r="BC46" i="2" s="1"/>
  <c r="BD46" i="2" s="1"/>
  <c r="BE46" i="2" s="1"/>
  <c r="BF46" i="2" s="1"/>
  <c r="BG46" i="2" s="1"/>
  <c r="BH46" i="2" s="1"/>
  <c r="BI46" i="2" s="1"/>
  <c r="BJ46" i="2" s="1"/>
  <c r="J46" i="2"/>
  <c r="BL44" i="2"/>
  <c r="K43" i="2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AG43" i="2" s="1"/>
  <c r="AH43" i="2" s="1"/>
  <c r="AI43" i="2" s="1"/>
  <c r="AJ43" i="2" s="1"/>
  <c r="AK43" i="2" s="1"/>
  <c r="AL43" i="2" s="1"/>
  <c r="AM43" i="2" s="1"/>
  <c r="AN43" i="2" s="1"/>
  <c r="AO43" i="2" s="1"/>
  <c r="AP43" i="2" s="1"/>
  <c r="AQ43" i="2" s="1"/>
  <c r="AR43" i="2" s="1"/>
  <c r="AS43" i="2" s="1"/>
  <c r="AT43" i="2" s="1"/>
  <c r="AU43" i="2" s="1"/>
  <c r="AV43" i="2" s="1"/>
  <c r="AW43" i="2" s="1"/>
  <c r="AX43" i="2" s="1"/>
  <c r="AY43" i="2" s="1"/>
  <c r="AZ43" i="2" s="1"/>
  <c r="BA43" i="2" s="1"/>
  <c r="BB43" i="2" s="1"/>
  <c r="BC43" i="2" s="1"/>
  <c r="BD43" i="2" s="1"/>
  <c r="BE43" i="2" s="1"/>
  <c r="BF43" i="2" s="1"/>
  <c r="BG43" i="2" s="1"/>
  <c r="BH43" i="2" s="1"/>
  <c r="BI43" i="2" s="1"/>
  <c r="BJ43" i="2" s="1"/>
  <c r="J43" i="2"/>
  <c r="BL41" i="2"/>
  <c r="K40" i="2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W40" i="2" s="1"/>
  <c r="X40" i="2" s="1"/>
  <c r="Y40" i="2" s="1"/>
  <c r="Z40" i="2" s="1"/>
  <c r="AA40" i="2" s="1"/>
  <c r="AB40" i="2" s="1"/>
  <c r="AC40" i="2" s="1"/>
  <c r="AD40" i="2" s="1"/>
  <c r="AE40" i="2" s="1"/>
  <c r="AF40" i="2" s="1"/>
  <c r="AG40" i="2" s="1"/>
  <c r="AH40" i="2" s="1"/>
  <c r="AI40" i="2" s="1"/>
  <c r="AJ40" i="2" s="1"/>
  <c r="AK40" i="2" s="1"/>
  <c r="AL40" i="2" s="1"/>
  <c r="AM40" i="2" s="1"/>
  <c r="AN40" i="2" s="1"/>
  <c r="AO40" i="2" s="1"/>
  <c r="AP40" i="2" s="1"/>
  <c r="AQ40" i="2" s="1"/>
  <c r="AR40" i="2" s="1"/>
  <c r="AS40" i="2" s="1"/>
  <c r="AT40" i="2" s="1"/>
  <c r="AU40" i="2" s="1"/>
  <c r="AV40" i="2" s="1"/>
  <c r="AW40" i="2" s="1"/>
  <c r="AX40" i="2" s="1"/>
  <c r="AY40" i="2" s="1"/>
  <c r="AZ40" i="2" s="1"/>
  <c r="BA40" i="2" s="1"/>
  <c r="BB40" i="2" s="1"/>
  <c r="BC40" i="2" s="1"/>
  <c r="BD40" i="2" s="1"/>
  <c r="BE40" i="2" s="1"/>
  <c r="BF40" i="2" s="1"/>
  <c r="BG40" i="2" s="1"/>
  <c r="BH40" i="2" s="1"/>
  <c r="BI40" i="2" s="1"/>
  <c r="BJ40" i="2" s="1"/>
  <c r="J40" i="2"/>
  <c r="BL38" i="2"/>
  <c r="K37" i="2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AA37" i="2" s="1"/>
  <c r="AB37" i="2" s="1"/>
  <c r="AC37" i="2" s="1"/>
  <c r="AD37" i="2" s="1"/>
  <c r="AE37" i="2" s="1"/>
  <c r="AF37" i="2" s="1"/>
  <c r="AG37" i="2" s="1"/>
  <c r="AH37" i="2" s="1"/>
  <c r="AI37" i="2" s="1"/>
  <c r="AJ37" i="2" s="1"/>
  <c r="AK37" i="2" s="1"/>
  <c r="AL37" i="2" s="1"/>
  <c r="AM37" i="2" s="1"/>
  <c r="AN37" i="2" s="1"/>
  <c r="AO37" i="2" s="1"/>
  <c r="AP37" i="2" s="1"/>
  <c r="AQ37" i="2" s="1"/>
  <c r="AR37" i="2" s="1"/>
  <c r="AS37" i="2" s="1"/>
  <c r="AT37" i="2" s="1"/>
  <c r="AU37" i="2" s="1"/>
  <c r="AV37" i="2" s="1"/>
  <c r="AW37" i="2" s="1"/>
  <c r="AX37" i="2" s="1"/>
  <c r="AY37" i="2" s="1"/>
  <c r="AZ37" i="2" s="1"/>
  <c r="BA37" i="2" s="1"/>
  <c r="BB37" i="2" s="1"/>
  <c r="BC37" i="2" s="1"/>
  <c r="BD37" i="2" s="1"/>
  <c r="BE37" i="2" s="1"/>
  <c r="BF37" i="2" s="1"/>
  <c r="BG37" i="2" s="1"/>
  <c r="BH37" i="2" s="1"/>
  <c r="BI37" i="2" s="1"/>
  <c r="BJ37" i="2" s="1"/>
  <c r="J37" i="2"/>
  <c r="BL35" i="2"/>
  <c r="K34" i="2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AG34" i="2" s="1"/>
  <c r="AH34" i="2" s="1"/>
  <c r="AI34" i="2" s="1"/>
  <c r="AJ34" i="2" s="1"/>
  <c r="AK34" i="2" s="1"/>
  <c r="AL34" i="2" s="1"/>
  <c r="AM34" i="2" s="1"/>
  <c r="AN34" i="2" s="1"/>
  <c r="AO34" i="2" s="1"/>
  <c r="AP34" i="2" s="1"/>
  <c r="AQ34" i="2" s="1"/>
  <c r="AR34" i="2" s="1"/>
  <c r="AS34" i="2" s="1"/>
  <c r="AT34" i="2" s="1"/>
  <c r="AU34" i="2" s="1"/>
  <c r="AV34" i="2" s="1"/>
  <c r="AW34" i="2" s="1"/>
  <c r="AX34" i="2" s="1"/>
  <c r="AY34" i="2" s="1"/>
  <c r="AZ34" i="2" s="1"/>
  <c r="BA34" i="2" s="1"/>
  <c r="BB34" i="2" s="1"/>
  <c r="BC34" i="2" s="1"/>
  <c r="BD34" i="2" s="1"/>
  <c r="BE34" i="2" s="1"/>
  <c r="BF34" i="2" s="1"/>
  <c r="BG34" i="2" s="1"/>
  <c r="BH34" i="2" s="1"/>
  <c r="BI34" i="2" s="1"/>
  <c r="BJ34" i="2" s="1"/>
  <c r="J34" i="2"/>
  <c r="BL32" i="2"/>
  <c r="K31" i="2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AG31" i="2" s="1"/>
  <c r="AH31" i="2" s="1"/>
  <c r="AI31" i="2" s="1"/>
  <c r="AJ31" i="2" s="1"/>
  <c r="AK31" i="2" s="1"/>
  <c r="AL31" i="2" s="1"/>
  <c r="AM31" i="2" s="1"/>
  <c r="AN31" i="2" s="1"/>
  <c r="AO31" i="2" s="1"/>
  <c r="AP31" i="2" s="1"/>
  <c r="AQ31" i="2" s="1"/>
  <c r="AR31" i="2" s="1"/>
  <c r="AS31" i="2" s="1"/>
  <c r="AT31" i="2" s="1"/>
  <c r="AU31" i="2" s="1"/>
  <c r="AV31" i="2" s="1"/>
  <c r="AW31" i="2" s="1"/>
  <c r="AX31" i="2" s="1"/>
  <c r="AY31" i="2" s="1"/>
  <c r="AZ31" i="2" s="1"/>
  <c r="BA31" i="2" s="1"/>
  <c r="BB31" i="2" s="1"/>
  <c r="BC31" i="2" s="1"/>
  <c r="BD31" i="2" s="1"/>
  <c r="BE31" i="2" s="1"/>
  <c r="BF31" i="2" s="1"/>
  <c r="BG31" i="2" s="1"/>
  <c r="BH31" i="2" s="1"/>
  <c r="BI31" i="2" s="1"/>
  <c r="BJ31" i="2" s="1"/>
  <c r="J31" i="2"/>
  <c r="BL29" i="2"/>
  <c r="K28" i="2"/>
  <c r="L28" i="2" s="1"/>
  <c r="M28" i="2" s="1"/>
  <c r="N28" i="2" s="1"/>
  <c r="O28" i="2" s="1"/>
  <c r="P28" i="2" s="1"/>
  <c r="Q28" i="2" s="1"/>
  <c r="R28" i="2" s="1"/>
  <c r="S28" i="2" s="1"/>
  <c r="T28" i="2" s="1"/>
  <c r="U28" i="2" s="1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AG28" i="2" s="1"/>
  <c r="AH28" i="2" s="1"/>
  <c r="AI28" i="2" s="1"/>
  <c r="AJ28" i="2" s="1"/>
  <c r="AK28" i="2" s="1"/>
  <c r="AL28" i="2" s="1"/>
  <c r="AM28" i="2" s="1"/>
  <c r="AN28" i="2" s="1"/>
  <c r="AO28" i="2" s="1"/>
  <c r="AP28" i="2" s="1"/>
  <c r="AQ28" i="2" s="1"/>
  <c r="AR28" i="2" s="1"/>
  <c r="AS28" i="2" s="1"/>
  <c r="AT28" i="2" s="1"/>
  <c r="AU28" i="2" s="1"/>
  <c r="AV28" i="2" s="1"/>
  <c r="AW28" i="2" s="1"/>
  <c r="AX28" i="2" s="1"/>
  <c r="AY28" i="2" s="1"/>
  <c r="AZ28" i="2" s="1"/>
  <c r="BA28" i="2" s="1"/>
  <c r="BB28" i="2" s="1"/>
  <c r="BC28" i="2" s="1"/>
  <c r="BD28" i="2" s="1"/>
  <c r="BE28" i="2" s="1"/>
  <c r="BF28" i="2" s="1"/>
  <c r="BG28" i="2" s="1"/>
  <c r="BH28" i="2" s="1"/>
  <c r="BI28" i="2" s="1"/>
  <c r="BJ28" i="2" s="1"/>
  <c r="J28" i="2"/>
  <c r="BL26" i="2"/>
  <c r="K25" i="2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BF25" i="2" s="1"/>
  <c r="BG25" i="2" s="1"/>
  <c r="BH25" i="2" s="1"/>
  <c r="BI25" i="2" s="1"/>
  <c r="BJ25" i="2" s="1"/>
  <c r="J25" i="2"/>
  <c r="BL23" i="2"/>
  <c r="K22" i="2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AY22" i="2" s="1"/>
  <c r="AZ22" i="2" s="1"/>
  <c r="BA22" i="2" s="1"/>
  <c r="BB22" i="2" s="1"/>
  <c r="BC22" i="2" s="1"/>
  <c r="BD22" i="2" s="1"/>
  <c r="BE22" i="2" s="1"/>
  <c r="BF22" i="2" s="1"/>
  <c r="BG22" i="2" s="1"/>
  <c r="BH22" i="2" s="1"/>
  <c r="BI22" i="2" s="1"/>
  <c r="BJ22" i="2" s="1"/>
  <c r="J22" i="2"/>
  <c r="BL20" i="2"/>
  <c r="K19" i="2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J19" i="2"/>
  <c r="BL17" i="2"/>
  <c r="K16" i="2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J16" i="2"/>
  <c r="BL14" i="2"/>
  <c r="K13" i="2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J13" i="2"/>
  <c r="BL11" i="2"/>
  <c r="K10" i="2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BD10" i="2" s="1"/>
  <c r="BE10" i="2" s="1"/>
  <c r="BF10" i="2" s="1"/>
  <c r="BG10" i="2" s="1"/>
  <c r="BH10" i="2" s="1"/>
  <c r="BI10" i="2" s="1"/>
  <c r="BJ10" i="2" s="1"/>
  <c r="J10" i="2"/>
  <c r="BL8" i="2"/>
</calcChain>
</file>

<file path=xl/sharedStrings.xml><?xml version="1.0" encoding="utf-8"?>
<sst xmlns="http://schemas.openxmlformats.org/spreadsheetml/2006/main" count="2060" uniqueCount="500">
  <si>
    <t>Plant:</t>
  </si>
  <si>
    <t>Buyer Code:</t>
  </si>
  <si>
    <t>Released Time:</t>
  </si>
  <si>
    <t>ERP Vendor Code:</t>
  </si>
  <si>
    <t>Report Date:</t>
  </si>
  <si>
    <t>VDS Num:</t>
  </si>
  <si>
    <t>Vendor Name:</t>
  </si>
  <si>
    <t>Version:</t>
  </si>
  <si>
    <t>15K0</t>
  </si>
  <si>
    <t>P43</t>
  </si>
  <si>
    <t>2026/03/02 08:13</t>
  </si>
  <si>
    <t>04Y-132371</t>
  </si>
  <si>
    <t>2026/03/02</t>
  </si>
  <si>
    <t>VWG0282208</t>
  </si>
  <si>
    <t>PAN JIT INTERNATIONAL INC</t>
  </si>
  <si>
    <t>00</t>
  </si>
  <si>
    <t>Y/N</t>
  </si>
  <si>
    <t>Material</t>
  </si>
  <si>
    <t>Data Measures</t>
  </si>
  <si>
    <t>Status</t>
  </si>
  <si>
    <t>Commit User</t>
  </si>
  <si>
    <t>Commit Time</t>
  </si>
  <si>
    <t>Uom</t>
  </si>
  <si>
    <t>Description</t>
  </si>
  <si>
    <t>Size/Dimension</t>
  </si>
  <si>
    <t>Before</t>
  </si>
  <si>
    <t>2026/03/09</t>
  </si>
  <si>
    <t>2026/03/16</t>
  </si>
  <si>
    <t>2026/03/23</t>
  </si>
  <si>
    <t>2026/03/30</t>
  </si>
  <si>
    <t>2026/04/06</t>
  </si>
  <si>
    <t>2026/04/13</t>
  </si>
  <si>
    <t>2026/04/20</t>
  </si>
  <si>
    <t>2026/04/27</t>
  </si>
  <si>
    <t>2026/05/04</t>
  </si>
  <si>
    <t>2026/05/11</t>
  </si>
  <si>
    <t>2026/05/18</t>
  </si>
  <si>
    <t>2026/05/25</t>
  </si>
  <si>
    <t>2026/06/01</t>
  </si>
  <si>
    <t>2026/06/08</t>
  </si>
  <si>
    <t>2026/06/15</t>
  </si>
  <si>
    <t>2026/06/22</t>
  </si>
  <si>
    <t>2026/06/29</t>
  </si>
  <si>
    <t>2026/07/06</t>
  </si>
  <si>
    <t>2026/07/13</t>
  </si>
  <si>
    <t>2026/07/20</t>
  </si>
  <si>
    <t>2026/07/27</t>
  </si>
  <si>
    <t>2026/08/03</t>
  </si>
  <si>
    <t>2026/08/10</t>
  </si>
  <si>
    <t>2026/08/17</t>
  </si>
  <si>
    <t>2026/08/24</t>
  </si>
  <si>
    <t>2026/08/31</t>
  </si>
  <si>
    <t>2026/09/07</t>
  </si>
  <si>
    <t>2026/09/14</t>
  </si>
  <si>
    <t>2026/09/21</t>
  </si>
  <si>
    <t>2026/09/28</t>
  </si>
  <si>
    <t>2026/10/05</t>
  </si>
  <si>
    <t>2026/10/12</t>
  </si>
  <si>
    <t>2026/10/19</t>
  </si>
  <si>
    <t>2026/10/26</t>
  </si>
  <si>
    <t>2026/11/02</t>
  </si>
  <si>
    <t>2026/11/09</t>
  </si>
  <si>
    <t>2026/11/16</t>
  </si>
  <si>
    <t>2026/11/23</t>
  </si>
  <si>
    <t>2026/11/30</t>
  </si>
  <si>
    <t>2026/12/07</t>
  </si>
  <si>
    <t>2026/12/14</t>
  </si>
  <si>
    <t>2026/12/21</t>
  </si>
  <si>
    <t>2026/12/28</t>
  </si>
  <si>
    <t>2027/01/04</t>
  </si>
  <si>
    <t>2027/01/11</t>
  </si>
  <si>
    <t>2027/01/18</t>
  </si>
  <si>
    <t>2027/01/25</t>
  </si>
  <si>
    <t>2027/02/01</t>
  </si>
  <si>
    <t>2027/02/08</t>
  </si>
  <si>
    <t>2027/02/15</t>
  </si>
  <si>
    <t>2027/02/22</t>
  </si>
  <si>
    <t>After</t>
  </si>
  <si>
    <t>Total</t>
  </si>
  <si>
    <t>Open PO Qty</t>
  </si>
  <si>
    <t>Open DN</t>
  </si>
  <si>
    <t>Rounding value</t>
  </si>
  <si>
    <t>MRB (Material Review Board)</t>
  </si>
  <si>
    <t>L/T (Lead Time)</t>
  </si>
  <si>
    <t>WH SLoc</t>
  </si>
  <si>
    <t>Y</t>
  </si>
  <si>
    <t>20102-000010A000</t>
  </si>
  <si>
    <t>Demand</t>
  </si>
  <si>
    <t>Released</t>
  </si>
  <si>
    <t>PC</t>
  </si>
  <si>
    <t>Diode,SCH,BAT54A,30V,0W,3P,TO236AB/SOT23</t>
  </si>
  <si>
    <t>,PANJIT,RoHS2</t>
  </si>
  <si>
    <t>00012</t>
  </si>
  <si>
    <t>Commit</t>
  </si>
  <si>
    <t>RD-AP1111206A</t>
  </si>
  <si>
    <t>Accumulate Shortage</t>
  </si>
  <si>
    <t>20102-003420A000</t>
  </si>
  <si>
    <t>Diode,RECT,ES1JH,600V,SMA,PANJIT,RoHS</t>
  </si>
  <si>
    <t>,(HF)</t>
  </si>
  <si>
    <t>00027</t>
  </si>
  <si>
    <t>RD-AP2112068B</t>
  </si>
  <si>
    <t>20102-003500A000</t>
  </si>
  <si>
    <t>Diode,RECT,MURC5J,600V,SMC,PANJIT,RoHS</t>
  </si>
  <si>
    <t>00021</t>
  </si>
  <si>
    <t>RD-AP1610182A</t>
  </si>
  <si>
    <t>20102-003560A000</t>
  </si>
  <si>
    <t>Diode,RECT,ES1D,200V,SMA,PANJIT,RoHS</t>
  </si>
  <si>
    <t>00020</t>
  </si>
  <si>
    <t>RD-AP1806097A</t>
  </si>
  <si>
    <t>20102-003640A000</t>
  </si>
  <si>
    <t>Diode,SW,BAV21W,200V,SOD123,PANJIT,RoHS</t>
  </si>
  <si>
    <t/>
  </si>
  <si>
    <t>00009</t>
  </si>
  <si>
    <t>RD-AP240417488B</t>
  </si>
  <si>
    <t>20102-003860A000</t>
  </si>
  <si>
    <t>Diode,Zener,BZT52-B12,11.76V,12.24V</t>
  </si>
  <si>
    <t>,0.41W,SOD123,PANJIT,RoHS,(HF)</t>
  </si>
  <si>
    <t>00010</t>
  </si>
  <si>
    <t>RD-AP0906189A</t>
  </si>
  <si>
    <t>20102-004800A000</t>
  </si>
  <si>
    <t>Diode,SW,GS1010FL,1000V,2P,SOD123FL</t>
  </si>
  <si>
    <t>,PANJIT,RoHS2,(HF)</t>
  </si>
  <si>
    <t>00011</t>
  </si>
  <si>
    <t>RD-AP1603380A</t>
  </si>
  <si>
    <t>20102-006570A000</t>
  </si>
  <si>
    <t>Diode,Zener,BZX84C15,14.25V,15.75V,0.41W</t>
  </si>
  <si>
    <t>,TO236AB,PANJIT,RoHS,(HF)</t>
  </si>
  <si>
    <t>00026</t>
  </si>
  <si>
    <t>RD-AP241221772B</t>
  </si>
  <si>
    <t>20102-006580A000</t>
  </si>
  <si>
    <t>Diode,Zener,BZX84C16,15.2V,16.8V,0.41W</t>
  </si>
  <si>
    <t>,TO236AB,PANJIT,RoHS</t>
  </si>
  <si>
    <t>00025</t>
  </si>
  <si>
    <t>RD-AP0808395A</t>
  </si>
  <si>
    <t>20102-006600A000</t>
  </si>
  <si>
    <t>Diode,Zener,BZX84C5V6,5.32V,5.88V,0.41W</t>
  </si>
  <si>
    <t>00024</t>
  </si>
  <si>
    <t>RD-AP0908424A</t>
  </si>
  <si>
    <t>20102-006750A000</t>
  </si>
  <si>
    <t>Diode,Zener,BZX84B13,12.74V,13.26V,0.41W</t>
  </si>
  <si>
    <t>,TO236AB,PANJIT,ROHS</t>
  </si>
  <si>
    <t>00023</t>
  </si>
  <si>
    <t>RD-AP1708392B</t>
  </si>
  <si>
    <t>20102-006810A000</t>
  </si>
  <si>
    <t>Diode,Zener,BZX84B14,13.72V,14.28V,0.41W</t>
  </si>
  <si>
    <t>00022</t>
  </si>
  <si>
    <t>RD-AP230712724B</t>
  </si>
  <si>
    <t>20102-007510A000</t>
  </si>
  <si>
    <t>Diode,Zener,BZT52-C16S,15.2V,16.8V,0.2W</t>
  </si>
  <si>
    <t>,SC76,PANJIT,RoHS,(HF)</t>
  </si>
  <si>
    <t>00019</t>
  </si>
  <si>
    <t>RD-AP2108574B</t>
  </si>
  <si>
    <t>20102-007630A000</t>
  </si>
  <si>
    <t>Diode,SW,MMBD7000,100V,TO236AB,PANJIT</t>
  </si>
  <si>
    <t>,RoHS</t>
  </si>
  <si>
    <t>00018</t>
  </si>
  <si>
    <t>RD-AP250732463C</t>
  </si>
  <si>
    <t>20102-007640A000</t>
  </si>
  <si>
    <t>Diode,RECT,RS1M,1000V,DO214AC,PANJIT</t>
  </si>
  <si>
    <t>00017</t>
  </si>
  <si>
    <t>RD-AP2212239B</t>
  </si>
  <si>
    <t>20102-007660A000</t>
  </si>
  <si>
    <t>Diode,SCH,SS1040,40V,SOD123,PANJIT,RoHS</t>
  </si>
  <si>
    <t>00016</t>
  </si>
  <si>
    <t>RD-AP1609215B</t>
  </si>
  <si>
    <t>20102-007680A000</t>
  </si>
  <si>
    <t>Diode,RECT,RS1006FL,600V,SOD123FL,PANJIT</t>
  </si>
  <si>
    <t>00015</t>
  </si>
  <si>
    <t>RD-AP241120935B</t>
  </si>
  <si>
    <t>20102-008400A000</t>
  </si>
  <si>
    <t>Diode,RECT,RS1002FL,200V,SOD123FL,PANJIT</t>
  </si>
  <si>
    <t>00014</t>
  </si>
  <si>
    <t>RD-AP241121330B</t>
  </si>
  <si>
    <t>20102-008510A000</t>
  </si>
  <si>
    <t>Diode,RECT,RS1MWG,1000V,DO214AC,PANJIT</t>
  </si>
  <si>
    <t>00013</t>
  </si>
  <si>
    <t>RD-AP1307009A</t>
  </si>
  <si>
    <t>20102-010100A000</t>
  </si>
  <si>
    <t>Diode,RECT,RS1010FL,1000V,SOD123,PANJIT</t>
  </si>
  <si>
    <t>,RoHS,(HF)</t>
  </si>
  <si>
    <t>00006</t>
  </si>
  <si>
    <t>RD-AP1612123A</t>
  </si>
  <si>
    <t>20102-010350A000</t>
  </si>
  <si>
    <t>Diode,Zener,MMSZ5237A,8.04V,8.36V,0.5W</t>
  </si>
  <si>
    <t>,SOD123,PANJIT,ROHS,(HF)</t>
  </si>
  <si>
    <t>00004</t>
  </si>
  <si>
    <t>RD-AP1711080A</t>
  </si>
  <si>
    <t>20102-010480A000</t>
  </si>
  <si>
    <t>Diode,SW,BAS316,100V,SC76,PANJIT,RoHS</t>
  </si>
  <si>
    <t>00002</t>
  </si>
  <si>
    <t>RD-AP1811439A</t>
  </si>
  <si>
    <t>20102-010490A000</t>
  </si>
  <si>
    <t>Diode,RECT,ES1004FL,400V,SOD123FL,PANJIT</t>
  </si>
  <si>
    <t>00001</t>
  </si>
  <si>
    <t>RD-AP250123041B</t>
  </si>
  <si>
    <t>20102-010600A000</t>
  </si>
  <si>
    <t>Diode,Zener,BZT52-B2V4S,2.35V,2.45V,0.2W</t>
  </si>
  <si>
    <t>,0.0P,SC76,PANJIT,RoHS,(HF)</t>
  </si>
  <si>
    <t>00046</t>
  </si>
  <si>
    <t>RD-AP2003225A</t>
  </si>
  <si>
    <t>20102-010610A000</t>
  </si>
  <si>
    <t>TVS,PJSD03TS,3.3V,SC79,PANJIT,RoHS,(HF)</t>
  </si>
  <si>
    <t>00045</t>
  </si>
  <si>
    <t>RD-AP1902130A</t>
  </si>
  <si>
    <t>20102-010710A000</t>
  </si>
  <si>
    <t>Diode,RECT,ES1002FL,200V,SOD123FL,PANJIT</t>
  </si>
  <si>
    <t>00044</t>
  </si>
  <si>
    <t>RD-AP1902131A</t>
  </si>
  <si>
    <t>20102-010720A000</t>
  </si>
  <si>
    <t>Diode,SCH,SR5H15,150V,DO214AA,PANJIT</t>
  </si>
  <si>
    <t>00042</t>
  </si>
  <si>
    <t>RD-AP1903159A</t>
  </si>
  <si>
    <t>20102-010780A000</t>
  </si>
  <si>
    <t>Diode,Zener,MMSZ5232B,5.32V,5.88V,0.5W</t>
  </si>
  <si>
    <t>,SOD123,PANJIT,RoHS</t>
  </si>
  <si>
    <t>00029</t>
  </si>
  <si>
    <t>RD-AP2002096A</t>
  </si>
  <si>
    <t>20102-011020A000</t>
  </si>
  <si>
    <t>Diode,RECT,MURB3J,600V,DO214AA,PANJIT</t>
  </si>
  <si>
    <t>,ROHS</t>
  </si>
  <si>
    <t>00033</t>
  </si>
  <si>
    <t>RD-AP1912105A</t>
  </si>
  <si>
    <t>20102-011090A000</t>
  </si>
  <si>
    <t>Diode,Zener,BZX84B12,11.76V,12.24V,0.41W</t>
  </si>
  <si>
    <t>00034</t>
  </si>
  <si>
    <t>RD-AP1908010A</t>
  </si>
  <si>
    <t>20102-011120A000</t>
  </si>
  <si>
    <t>Diode,Zener,PDZ13B,12.91V,13.49V,0.4W</t>
  </si>
  <si>
    <t>00036</t>
  </si>
  <si>
    <t>RD-AP1910265A</t>
  </si>
  <si>
    <t>20102-011220A000</t>
  </si>
  <si>
    <t>Diode,RECT,S8K,800V,DO214AB,PANJIT,RoHS</t>
  </si>
  <si>
    <t>00038</t>
  </si>
  <si>
    <t>RD-AP2003187A</t>
  </si>
  <si>
    <t>20102-011540A000</t>
  </si>
  <si>
    <t>Diode,SCH,SS1060HE,60V,SOD123W,PANJIT</t>
  </si>
  <si>
    <t>,ROHS,(HF)</t>
  </si>
  <si>
    <t>00041</t>
  </si>
  <si>
    <t>RD-AP2005484A</t>
  </si>
  <si>
    <t>20102-011570A000</t>
  </si>
  <si>
    <t>Diode,RECT,ES1006FL,600V,SOD123FL,PANJIT</t>
  </si>
  <si>
    <t>00037</t>
  </si>
  <si>
    <t>RD-AP2111003B</t>
  </si>
  <si>
    <t>20102-011890A000</t>
  </si>
  <si>
    <t>Diode,RECT,RS1004FL,400V,SOD123FL,PANJIT</t>
  </si>
  <si>
    <t>00035</t>
  </si>
  <si>
    <t>RD-AP2105451A</t>
  </si>
  <si>
    <t>20102-013390A000</t>
  </si>
  <si>
    <t>Diode,Zener,MMSZ5250B,19V,21V,0.5W</t>
  </si>
  <si>
    <t>00032</t>
  </si>
  <si>
    <t>RD-AP2211007A</t>
  </si>
  <si>
    <t>20102-013520A000</t>
  </si>
  <si>
    <t>Diode,SW,1N4148WSG,75V,SC76,PANJIT,RoHS</t>
  </si>
  <si>
    <t>00031</t>
  </si>
  <si>
    <t>RD-AP260138804B</t>
  </si>
  <si>
    <t>20102-018020A000</t>
  </si>
  <si>
    <t>Diode,SCH,SBT55LAFC,50V,SMAF,PANJIT,RoHS</t>
  </si>
  <si>
    <t>00030</t>
  </si>
  <si>
    <t>RD-AP2211431A</t>
  </si>
  <si>
    <t>20102-018250A000</t>
  </si>
  <si>
    <t>Diode,SCH,BAW56,75V,TO236AB,DII,RoHS</t>
  </si>
  <si>
    <t>00028</t>
  </si>
  <si>
    <t>RD-AP1608040B</t>
  </si>
  <si>
    <t>20102-018270A000</t>
  </si>
  <si>
    <t>Diode,SW,1N4148WS,75V,SC76,PANJIT,RoHS</t>
  </si>
  <si>
    <t>00039</t>
  </si>
  <si>
    <t>RD-AP23029131B</t>
  </si>
  <si>
    <t>20102-018660A000</t>
  </si>
  <si>
    <t>Diode,SCH,BAT54WS_R1_00001,30V,2P,SC76</t>
  </si>
  <si>
    <t>,PANJIT,RoHS,(HF)</t>
  </si>
  <si>
    <t>00040</t>
  </si>
  <si>
    <t>RD-AP240819509B</t>
  </si>
  <si>
    <t>20102-020090A000</t>
  </si>
  <si>
    <t>Diode,RECT,US1006FL,600.0V,SOD123FL</t>
  </si>
  <si>
    <t>00047</t>
  </si>
  <si>
    <t>RD-AP240920103B</t>
  </si>
  <si>
    <t>20102-021410A000</t>
  </si>
  <si>
    <t>Diode,SW,BAV21WS,200.0V,SC76,PANJIT,RoHS</t>
  </si>
  <si>
    <t>00049</t>
  </si>
  <si>
    <t>RD-AP1206110A</t>
  </si>
  <si>
    <t>20102-038250A000</t>
  </si>
  <si>
    <t>Diode,RECT,ES2J,600.0V,DO214AC,PANJIT</t>
  </si>
  <si>
    <t>00050</t>
  </si>
  <si>
    <t>RD-AP240920047A</t>
  </si>
  <si>
    <t>20102-038430A000</t>
  </si>
  <si>
    <t>Diode,Zener,BZT52-B12S_R1_00001,11.76V</t>
  </si>
  <si>
    <t>,12.24V,0.2W,SC76,PANJIT,RoHS2</t>
  </si>
  <si>
    <t>00048</t>
  </si>
  <si>
    <t>RD-AP2001306A</t>
  </si>
  <si>
    <t>20102-039460A000</t>
  </si>
  <si>
    <t>Diode,SCH,SVM1550UA,50V,TO277A,PANJIT</t>
  </si>
  <si>
    <t>00043</t>
  </si>
  <si>
    <t>RD-AP2002172A</t>
  </si>
  <si>
    <t>20102-044570A000</t>
  </si>
  <si>
    <t>Diode,Zener,BZT52-B16S,15.68V,16.32V</t>
  </si>
  <si>
    <t>,0.2W,SC76,PANJIT,RoHS</t>
  </si>
  <si>
    <t>00003</t>
  </si>
  <si>
    <t>RD-AP241121294A</t>
  </si>
  <si>
    <t>20102-049490A000</t>
  </si>
  <si>
    <t>TVS,PJGBLC03C,3.3V,SC76,PANJIT,RoHS</t>
  </si>
  <si>
    <t>00005</t>
  </si>
  <si>
    <t>RD-AP250935367A</t>
  </si>
  <si>
    <t>20102-049640A000</t>
  </si>
  <si>
    <t>Diode,Zener,BZT52-B3V6,2.35V,3.67V,0.41W</t>
  </si>
  <si>
    <t>00007</t>
  </si>
  <si>
    <t>RD-AP1107050A</t>
  </si>
  <si>
    <t>20102-051650A000</t>
  </si>
  <si>
    <t>Diode,SCH,SB140CS,40V,2P,SC76,PANJIT</t>
  </si>
  <si>
    <t>00008</t>
  </si>
  <si>
    <t>RD-AP251237668A</t>
  </si>
  <si>
    <t>2026/03/02 08:14</t>
  </si>
  <si>
    <t>VXG0282328</t>
  </si>
  <si>
    <t>2026/03/03</t>
  </si>
  <si>
    <t>2026/03/04</t>
  </si>
  <si>
    <t>2026/03/05</t>
  </si>
  <si>
    <t>2026/03/06</t>
  </si>
  <si>
    <t>2026/03/07</t>
  </si>
  <si>
    <t>2026/03/08</t>
  </si>
  <si>
    <t>2026/03/10</t>
  </si>
  <si>
    <t>2026/03/11</t>
  </si>
  <si>
    <t>2026/03/12</t>
  </si>
  <si>
    <t>2026/03/13</t>
  </si>
  <si>
    <t>2026/03/14</t>
  </si>
  <si>
    <t>2026/03/15</t>
  </si>
  <si>
    <t>2026/03/17</t>
  </si>
  <si>
    <t>2026/03/18</t>
  </si>
  <si>
    <t>2026/03/19</t>
  </si>
  <si>
    <t>2026/03/20</t>
  </si>
  <si>
    <t>2026/03/21</t>
  </si>
  <si>
    <t>2026/03/22</t>
  </si>
  <si>
    <t>2026/03/24</t>
  </si>
  <si>
    <t>2026/03/25</t>
  </si>
  <si>
    <t>2026/03/26</t>
  </si>
  <si>
    <t>2026/03/27</t>
  </si>
  <si>
    <t>2026/03/28</t>
  </si>
  <si>
    <t>2026/03/29</t>
  </si>
  <si>
    <t>2026/03/31</t>
  </si>
  <si>
    <t>2026/04/01</t>
  </si>
  <si>
    <t>2026/09/01</t>
  </si>
  <si>
    <t>2026/10/01</t>
  </si>
  <si>
    <t>2026/11/01</t>
  </si>
  <si>
    <t>2026/12/01</t>
  </si>
  <si>
    <t>2027/01/01</t>
  </si>
  <si>
    <t>DateTime:</t>
  </si>
  <si>
    <t>PO No</t>
  </si>
  <si>
    <t>Line No</t>
  </si>
  <si>
    <t>Delivery Date</t>
  </si>
  <si>
    <t>PO Qty(A)</t>
  </si>
  <si>
    <t>Received Qty(B)</t>
  </si>
  <si>
    <t>In Transit Qty(C)</t>
  </si>
  <si>
    <t>Open Qty(A-B-C)</t>
  </si>
  <si>
    <t>4507734754</t>
  </si>
  <si>
    <t>2026/07/30</t>
  </si>
  <si>
    <t>4507770391</t>
  </si>
  <si>
    <t>4507770396</t>
  </si>
  <si>
    <t>2026/04/09</t>
  </si>
  <si>
    <t>4507654261</t>
  </si>
  <si>
    <t>2025/12/11</t>
  </si>
  <si>
    <t>4507654263</t>
  </si>
  <si>
    <t>4507654266</t>
  </si>
  <si>
    <t>4507654268</t>
  </si>
  <si>
    <t>4507654271</t>
  </si>
  <si>
    <t>4507654273</t>
  </si>
  <si>
    <t>4507654276</t>
  </si>
  <si>
    <t>2026/01/12</t>
  </si>
  <si>
    <t>4507654279</t>
  </si>
  <si>
    <t>4507770398</t>
  </si>
  <si>
    <t>4507781644</t>
  </si>
  <si>
    <t>2026/04/16</t>
  </si>
  <si>
    <t>4507784346</t>
  </si>
  <si>
    <t>4507734778</t>
  </si>
  <si>
    <t>4507734780</t>
  </si>
  <si>
    <t>4507741569</t>
  </si>
  <si>
    <t>4507654292</t>
  </si>
  <si>
    <t>2026/01/15</t>
  </si>
  <si>
    <t>4507734783</t>
  </si>
  <si>
    <t>4507747268</t>
  </si>
  <si>
    <t>2026/03/01</t>
  </si>
  <si>
    <t>4507784348</t>
  </si>
  <si>
    <t>4507734808</t>
  </si>
  <si>
    <t>4507734811</t>
  </si>
  <si>
    <t>4507525921</t>
  </si>
  <si>
    <t>2025/10/20</t>
  </si>
  <si>
    <t>4507734813</t>
  </si>
  <si>
    <t>2026/04/22</t>
  </si>
  <si>
    <t>4507770411</t>
  </si>
  <si>
    <t>4507781650</t>
  </si>
  <si>
    <t>4507784352</t>
  </si>
  <si>
    <t>4507789393</t>
  </si>
  <si>
    <t>2026/04/29</t>
  </si>
  <si>
    <t>4507789787</t>
  </si>
  <si>
    <t>2026/04/23</t>
  </si>
  <si>
    <t>4507789788</t>
  </si>
  <si>
    <t>20102-007620A000</t>
  </si>
  <si>
    <t>Diode,SW,MMBD6100,80V,TO236AB,PANJIT</t>
  </si>
  <si>
    <t>4507731611</t>
  </si>
  <si>
    <t>2026/05/21</t>
  </si>
  <si>
    <t>4507730831</t>
  </si>
  <si>
    <t>4507699135</t>
  </si>
  <si>
    <t>2026/02/16</t>
  </si>
  <si>
    <t>4507734818</t>
  </si>
  <si>
    <t>2026/06/10</t>
  </si>
  <si>
    <t>4507734819</t>
  </si>
  <si>
    <t>2026/05/12</t>
  </si>
  <si>
    <t>4507741571</t>
  </si>
  <si>
    <t>4507746724</t>
  </si>
  <si>
    <t>4507784354</t>
  </si>
  <si>
    <t>4507789397</t>
  </si>
  <si>
    <t>4507589613</t>
  </si>
  <si>
    <t>2025/09/08</t>
  </si>
  <si>
    <t>4507654392</t>
  </si>
  <si>
    <t>2026/01/29</t>
  </si>
  <si>
    <t>4507654393</t>
  </si>
  <si>
    <t>4507525930</t>
  </si>
  <si>
    <t>2025/10/28</t>
  </si>
  <si>
    <t>4507770415</t>
  </si>
  <si>
    <t>2026/07/02</t>
  </si>
  <si>
    <t>4507784356</t>
  </si>
  <si>
    <t>20102-010160A000</t>
  </si>
  <si>
    <t>Diode,SCH,SX3H15,150V,DO214AC,PANJIT</t>
  </si>
  <si>
    <t>4507260884</t>
  </si>
  <si>
    <t>2025/04/20</t>
  </si>
  <si>
    <t>4507260886</t>
  </si>
  <si>
    <t>2025/05/13</t>
  </si>
  <si>
    <t>4507770423</t>
  </si>
  <si>
    <t>4507781652</t>
  </si>
  <si>
    <t>20102-010450A000</t>
  </si>
  <si>
    <t>Diode,SCH,SBA140CS,40V,SC76,PANJIT,RoHS</t>
  </si>
  <si>
    <t>4507699324</t>
  </si>
  <si>
    <t>4507699326</t>
  </si>
  <si>
    <t>4507699327</t>
  </si>
  <si>
    <t>4507699328</t>
  </si>
  <si>
    <t>4507728493</t>
  </si>
  <si>
    <t>4507650753</t>
  </si>
  <si>
    <t>2025/11/11</t>
  </si>
  <si>
    <t>4507669796</t>
  </si>
  <si>
    <t>2026/01/27</t>
  </si>
  <si>
    <t>4507699144</t>
  </si>
  <si>
    <t>4507699147</t>
  </si>
  <si>
    <t>4507699334</t>
  </si>
  <si>
    <t>4507784360</t>
  </si>
  <si>
    <t>4507784362</t>
  </si>
  <si>
    <t>4507650756</t>
  </si>
  <si>
    <t>4507741585</t>
  </si>
  <si>
    <t>4507784364</t>
  </si>
  <si>
    <t>4507789678</t>
  </si>
  <si>
    <t>2026/05/13</t>
  </si>
  <si>
    <t>4507770441</t>
  </si>
  <si>
    <t>2026/01/26</t>
  </si>
  <si>
    <t>4507770437</t>
  </si>
  <si>
    <t>4507781655</t>
  </si>
  <si>
    <t>4507784368</t>
  </si>
  <si>
    <t>4507669803</t>
  </si>
  <si>
    <t>4507740129</t>
  </si>
  <si>
    <t>4507740135</t>
  </si>
  <si>
    <t>4507654442</t>
  </si>
  <si>
    <t>4507699347</t>
  </si>
  <si>
    <t>4507776534</t>
  </si>
  <si>
    <t>4507650754</t>
  </si>
  <si>
    <t>4507741613</t>
  </si>
  <si>
    <t>2026/05/14</t>
  </si>
  <si>
    <t>4507741614</t>
  </si>
  <si>
    <t>4507741618</t>
  </si>
  <si>
    <t>4507741619</t>
  </si>
  <si>
    <t>4507741620</t>
  </si>
  <si>
    <t>4507741621</t>
  </si>
  <si>
    <t>2026/05/29</t>
  </si>
  <si>
    <t>4507741623</t>
  </si>
  <si>
    <t>4507741624</t>
  </si>
  <si>
    <t>4507770434</t>
  </si>
  <si>
    <t>4507718394</t>
  </si>
  <si>
    <t>4507770443</t>
  </si>
  <si>
    <t>4507770444</t>
  </si>
  <si>
    <t>4507784372</t>
  </si>
  <si>
    <t>4507784373</t>
  </si>
  <si>
    <t>4507740134</t>
  </si>
  <si>
    <t>4507741738</t>
  </si>
  <si>
    <t>4507770450</t>
  </si>
  <si>
    <t>2026/08/27</t>
  </si>
  <si>
    <t>4507670314</t>
  </si>
  <si>
    <t>4507720184</t>
  </si>
  <si>
    <t>2026/02/26</t>
  </si>
  <si>
    <t>4507770452</t>
  </si>
  <si>
    <t>4507770454</t>
  </si>
  <si>
    <t>4507789796</t>
  </si>
  <si>
    <t>4507770455</t>
  </si>
  <si>
    <t>4507796461</t>
  </si>
  <si>
    <t>4507796463</t>
  </si>
  <si>
    <t>4507654520</t>
  </si>
  <si>
    <t>4507728501</t>
  </si>
  <si>
    <t>4507770457</t>
  </si>
  <si>
    <t>4507770458</t>
  </si>
  <si>
    <t>4507770459</t>
  </si>
  <si>
    <t>4507781667</t>
  </si>
  <si>
    <t>20117-006450A000</t>
  </si>
  <si>
    <t>MOSFET,2N7002KDW-R1-00001,N,60V,0.115A</t>
  </si>
  <si>
    <t>,SC88,PANJIT,RoHS,(HF)</t>
  </si>
  <si>
    <t>4507713172</t>
  </si>
  <si>
    <t>4507791883</t>
  </si>
  <si>
    <t>Datetime: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</si>
</sst>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0"/>
      <name val="Arial"/>
      <family val="2"/>
    </font>
    <font>
      <sz val="10"/>
      <name val="Trebuchet MS"/>
      <family val="2"/>
    </font>
    <font>
      <sz val="10"/>
      <name val="Arial"/>
      <family val="2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0" fontId="1" fillId="0" borderId="0" xfId="6" applyFont="1"/>
    <xf numFmtId="0" fontId="1" fillId="2" borderId="0" xfId="6" applyFont="1" applyFill="1"/>
    <xf numFmtId="0" fontId="1" fillId="2" borderId="1" xfId="6" applyFont="1" applyFill="1" applyBorder="1" applyAlignment="1">
      <alignment horizontal="center"/>
    </xf>
    <xf numFmtId="0" fontId="1" fillId="3" borderId="1" xfId="6" applyFont="1" applyFill="1" applyBorder="1"/>
    <xf numFmtId="0" fontId="1" fillId="4" borderId="1" xfId="6" applyFont="1" applyFill="1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一般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238125</xdr:rowOff>
    </xdr:from>
    <xdr:to>
      <xdr:col>0</xdr:col>
      <xdr:colOff>409575</xdr:colOff>
      <xdr:row>5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050" y="647700"/>
          <a:ext cx="333375" cy="276225"/>
        </a:xfrm>
        <a:prstGeom prst="rect">
          <a:avLst/>
        </a:prstGeom>
        <a:solidFill>
          <a:srgbClr val="FFFF99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Daily</a:t>
          </a:r>
        </a:p>
      </xdr:txBody>
    </xdr:sp>
    <xdr:clientData/>
  </xdr:twoCellAnchor>
  <xdr:twoCellAnchor>
    <xdr:from>
      <xdr:col>1</xdr:col>
      <xdr:colOff>0</xdr:colOff>
      <xdr:row>3</xdr:row>
      <xdr:rowOff>238125</xdr:rowOff>
    </xdr:from>
    <xdr:to>
      <xdr:col>1</xdr:col>
      <xdr:colOff>571500</xdr:colOff>
      <xdr:row>5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2425" y="647700"/>
          <a:ext cx="571500" cy="2762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Weekly</a:t>
          </a:r>
        </a:p>
      </xdr:txBody>
    </xdr:sp>
    <xdr:clientData/>
  </xdr:twoCellAnchor>
  <xdr:twoCellAnchor>
    <xdr:from>
      <xdr:col>1</xdr:col>
      <xdr:colOff>571500</xdr:colOff>
      <xdr:row>3</xdr:row>
      <xdr:rowOff>238125</xdr:rowOff>
    </xdr:from>
    <xdr:to>
      <xdr:col>2</xdr:col>
      <xdr:colOff>485775</xdr:colOff>
      <xdr:row>5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23925" y="647700"/>
          <a:ext cx="1076325" cy="2762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Monthly</a:t>
          </a:r>
        </a:p>
      </xdr:txBody>
    </xdr:sp>
    <xdr:clientData/>
  </xdr:twoCellAnchor>
  <xdr:twoCellAnchor>
    <xdr:from>
      <xdr:col>2</xdr:col>
      <xdr:colOff>0</xdr:colOff>
      <xdr:row>3</xdr:row>
      <xdr:rowOff>238125</xdr:rowOff>
    </xdr:from>
    <xdr:to>
      <xdr:col>2</xdr:col>
      <xdr:colOff>495300</xdr:colOff>
      <xdr:row>5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514475" y="647700"/>
          <a:ext cx="495300" cy="2762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DWM</a:t>
          </a:r>
        </a:p>
      </xdr:txBody>
    </xdr:sp>
    <xdr:clientData/>
  </xdr:twoCellAnchor>
  <xdr:twoCellAnchor>
    <xdr:from>
      <xdr:col>2</xdr:col>
      <xdr:colOff>476250</xdr:colOff>
      <xdr:row>3</xdr:row>
      <xdr:rowOff>247650</xdr:rowOff>
    </xdr:from>
    <xdr:to>
      <xdr:col>3</xdr:col>
      <xdr:colOff>352425</xdr:colOff>
      <xdr:row>5</xdr:row>
      <xdr:rowOff>104775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990725" y="647700"/>
          <a:ext cx="1666875" cy="266700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Open PO</a:t>
          </a:r>
        </a:p>
      </xdr:txBody>
    </xdr:sp>
    <xdr:clientData/>
  </xdr:twoCellAnchor>
  <xdr:twoCellAnchor>
    <xdr:from>
      <xdr:col>2</xdr:col>
      <xdr:colOff>1143000</xdr:colOff>
      <xdr:row>3</xdr:row>
      <xdr:rowOff>247650</xdr:rowOff>
    </xdr:from>
    <xdr:to>
      <xdr:col>3</xdr:col>
      <xdr:colOff>542925</xdr:colOff>
      <xdr:row>5</xdr:row>
      <xdr:rowOff>104775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657475" y="647700"/>
          <a:ext cx="1190625" cy="266700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Summary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238125</xdr:rowOff>
    </xdr:from>
    <xdr:to>
      <xdr:col>0</xdr:col>
      <xdr:colOff>409575</xdr:colOff>
      <xdr:row>5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9050" y="647700"/>
          <a:ext cx="333375" cy="2762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Daily</a:t>
          </a:r>
        </a:p>
      </xdr:txBody>
    </xdr:sp>
    <xdr:clientData/>
  </xdr:twoCellAnchor>
  <xdr:twoCellAnchor>
    <xdr:from>
      <xdr:col>1</xdr:col>
      <xdr:colOff>0</xdr:colOff>
      <xdr:row>3</xdr:row>
      <xdr:rowOff>238125</xdr:rowOff>
    </xdr:from>
    <xdr:to>
      <xdr:col>1</xdr:col>
      <xdr:colOff>571500</xdr:colOff>
      <xdr:row>5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52425" y="647700"/>
          <a:ext cx="571500" cy="276225"/>
        </a:xfrm>
        <a:prstGeom prst="rect">
          <a:avLst/>
        </a:prstGeom>
        <a:solidFill>
          <a:srgbClr val="FFFF99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Weekly</a:t>
          </a:r>
        </a:p>
      </xdr:txBody>
    </xdr:sp>
    <xdr:clientData/>
  </xdr:twoCellAnchor>
  <xdr:twoCellAnchor>
    <xdr:from>
      <xdr:col>1</xdr:col>
      <xdr:colOff>571500</xdr:colOff>
      <xdr:row>3</xdr:row>
      <xdr:rowOff>238125</xdr:rowOff>
    </xdr:from>
    <xdr:to>
      <xdr:col>2</xdr:col>
      <xdr:colOff>485775</xdr:colOff>
      <xdr:row>5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923925" y="647700"/>
          <a:ext cx="1076325" cy="2762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Monthly</a:t>
          </a:r>
        </a:p>
      </xdr:txBody>
    </xdr:sp>
    <xdr:clientData/>
  </xdr:twoCellAnchor>
  <xdr:twoCellAnchor>
    <xdr:from>
      <xdr:col>2</xdr:col>
      <xdr:colOff>0</xdr:colOff>
      <xdr:row>3</xdr:row>
      <xdr:rowOff>238125</xdr:rowOff>
    </xdr:from>
    <xdr:to>
      <xdr:col>2</xdr:col>
      <xdr:colOff>495300</xdr:colOff>
      <xdr:row>5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514475" y="647700"/>
          <a:ext cx="495300" cy="2762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DWM</a:t>
          </a:r>
        </a:p>
      </xdr:txBody>
    </xdr:sp>
    <xdr:clientData/>
  </xdr:twoCellAnchor>
  <xdr:twoCellAnchor>
    <xdr:from>
      <xdr:col>2</xdr:col>
      <xdr:colOff>476250</xdr:colOff>
      <xdr:row>3</xdr:row>
      <xdr:rowOff>247650</xdr:rowOff>
    </xdr:from>
    <xdr:to>
      <xdr:col>3</xdr:col>
      <xdr:colOff>352425</xdr:colOff>
      <xdr:row>5</xdr:row>
      <xdr:rowOff>104775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990725" y="647700"/>
          <a:ext cx="1666875" cy="266700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Open PO</a:t>
          </a:r>
        </a:p>
      </xdr:txBody>
    </xdr:sp>
    <xdr:clientData/>
  </xdr:twoCellAnchor>
  <xdr:twoCellAnchor>
    <xdr:from>
      <xdr:col>2</xdr:col>
      <xdr:colOff>1143000</xdr:colOff>
      <xdr:row>3</xdr:row>
      <xdr:rowOff>247650</xdr:rowOff>
    </xdr:from>
    <xdr:to>
      <xdr:col>3</xdr:col>
      <xdr:colOff>542925</xdr:colOff>
      <xdr:row>5</xdr:row>
      <xdr:rowOff>104775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657475" y="647700"/>
          <a:ext cx="1190625" cy="266700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Summary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238125</xdr:rowOff>
    </xdr:from>
    <xdr:to>
      <xdr:col>0</xdr:col>
      <xdr:colOff>409575</xdr:colOff>
      <xdr:row>5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050" y="647700"/>
          <a:ext cx="333375" cy="2762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Daily</a:t>
          </a:r>
        </a:p>
      </xdr:txBody>
    </xdr:sp>
    <xdr:clientData/>
  </xdr:twoCellAnchor>
  <xdr:twoCellAnchor>
    <xdr:from>
      <xdr:col>1</xdr:col>
      <xdr:colOff>0</xdr:colOff>
      <xdr:row>3</xdr:row>
      <xdr:rowOff>238125</xdr:rowOff>
    </xdr:from>
    <xdr:to>
      <xdr:col>1</xdr:col>
      <xdr:colOff>571500</xdr:colOff>
      <xdr:row>5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52425" y="647700"/>
          <a:ext cx="571500" cy="2762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Weekly</a:t>
          </a:r>
        </a:p>
      </xdr:txBody>
    </xdr:sp>
    <xdr:clientData/>
  </xdr:twoCellAnchor>
  <xdr:twoCellAnchor>
    <xdr:from>
      <xdr:col>1</xdr:col>
      <xdr:colOff>571500</xdr:colOff>
      <xdr:row>3</xdr:row>
      <xdr:rowOff>238125</xdr:rowOff>
    </xdr:from>
    <xdr:to>
      <xdr:col>2</xdr:col>
      <xdr:colOff>485775</xdr:colOff>
      <xdr:row>5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923925" y="647700"/>
          <a:ext cx="1076325" cy="276225"/>
        </a:xfrm>
        <a:prstGeom prst="rect">
          <a:avLst/>
        </a:prstGeom>
        <a:solidFill>
          <a:srgbClr val="FFFF99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Monthly</a:t>
          </a:r>
        </a:p>
      </xdr:txBody>
    </xdr:sp>
    <xdr:clientData/>
  </xdr:twoCellAnchor>
  <xdr:twoCellAnchor>
    <xdr:from>
      <xdr:col>2</xdr:col>
      <xdr:colOff>0</xdr:colOff>
      <xdr:row>3</xdr:row>
      <xdr:rowOff>238125</xdr:rowOff>
    </xdr:from>
    <xdr:to>
      <xdr:col>2</xdr:col>
      <xdr:colOff>495300</xdr:colOff>
      <xdr:row>5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514475" y="647700"/>
          <a:ext cx="495300" cy="2762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DWM</a:t>
          </a:r>
        </a:p>
      </xdr:txBody>
    </xdr:sp>
    <xdr:clientData/>
  </xdr:twoCellAnchor>
  <xdr:twoCellAnchor>
    <xdr:from>
      <xdr:col>2</xdr:col>
      <xdr:colOff>476250</xdr:colOff>
      <xdr:row>3</xdr:row>
      <xdr:rowOff>247650</xdr:rowOff>
    </xdr:from>
    <xdr:to>
      <xdr:col>3</xdr:col>
      <xdr:colOff>352425</xdr:colOff>
      <xdr:row>5</xdr:row>
      <xdr:rowOff>104775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990725" y="647700"/>
          <a:ext cx="1666875" cy="266700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Open PO</a:t>
          </a:r>
        </a:p>
      </xdr:txBody>
    </xdr:sp>
    <xdr:clientData/>
  </xdr:twoCellAnchor>
  <xdr:twoCellAnchor>
    <xdr:from>
      <xdr:col>2</xdr:col>
      <xdr:colOff>1143000</xdr:colOff>
      <xdr:row>3</xdr:row>
      <xdr:rowOff>247650</xdr:rowOff>
    </xdr:from>
    <xdr:to>
      <xdr:col>3</xdr:col>
      <xdr:colOff>542925</xdr:colOff>
      <xdr:row>5</xdr:row>
      <xdr:rowOff>104775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57475" y="647700"/>
          <a:ext cx="1190625" cy="266700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Summary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238125</xdr:rowOff>
    </xdr:from>
    <xdr:to>
      <xdr:col>0</xdr:col>
      <xdr:colOff>409575</xdr:colOff>
      <xdr:row>5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9050" y="647700"/>
          <a:ext cx="333375" cy="2762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Daily</a:t>
          </a:r>
        </a:p>
      </xdr:txBody>
    </xdr:sp>
    <xdr:clientData/>
  </xdr:twoCellAnchor>
  <xdr:twoCellAnchor>
    <xdr:from>
      <xdr:col>1</xdr:col>
      <xdr:colOff>0</xdr:colOff>
      <xdr:row>3</xdr:row>
      <xdr:rowOff>238125</xdr:rowOff>
    </xdr:from>
    <xdr:to>
      <xdr:col>1</xdr:col>
      <xdr:colOff>571500</xdr:colOff>
      <xdr:row>5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52425" y="647700"/>
          <a:ext cx="571500" cy="2762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Weekly</a:t>
          </a:r>
        </a:p>
      </xdr:txBody>
    </xdr:sp>
    <xdr:clientData/>
  </xdr:twoCellAnchor>
  <xdr:twoCellAnchor>
    <xdr:from>
      <xdr:col>1</xdr:col>
      <xdr:colOff>571500</xdr:colOff>
      <xdr:row>3</xdr:row>
      <xdr:rowOff>238125</xdr:rowOff>
    </xdr:from>
    <xdr:to>
      <xdr:col>2</xdr:col>
      <xdr:colOff>485775</xdr:colOff>
      <xdr:row>5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923925" y="647700"/>
          <a:ext cx="1076325" cy="2762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Monthly</a:t>
          </a:r>
        </a:p>
      </xdr:txBody>
    </xdr:sp>
    <xdr:clientData/>
  </xdr:twoCellAnchor>
  <xdr:twoCellAnchor>
    <xdr:from>
      <xdr:col>2</xdr:col>
      <xdr:colOff>0</xdr:colOff>
      <xdr:row>3</xdr:row>
      <xdr:rowOff>238125</xdr:rowOff>
    </xdr:from>
    <xdr:to>
      <xdr:col>2</xdr:col>
      <xdr:colOff>495300</xdr:colOff>
      <xdr:row>5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514475" y="647700"/>
          <a:ext cx="495300" cy="276225"/>
        </a:xfrm>
        <a:prstGeom prst="rect">
          <a:avLst/>
        </a:prstGeom>
        <a:solidFill>
          <a:srgbClr val="FFFF99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DWM</a:t>
          </a:r>
        </a:p>
      </xdr:txBody>
    </xdr:sp>
    <xdr:clientData/>
  </xdr:twoCellAnchor>
  <xdr:twoCellAnchor>
    <xdr:from>
      <xdr:col>2</xdr:col>
      <xdr:colOff>476250</xdr:colOff>
      <xdr:row>3</xdr:row>
      <xdr:rowOff>247650</xdr:rowOff>
    </xdr:from>
    <xdr:to>
      <xdr:col>3</xdr:col>
      <xdr:colOff>352425</xdr:colOff>
      <xdr:row>5</xdr:row>
      <xdr:rowOff>104775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990725" y="647700"/>
          <a:ext cx="1666875" cy="266700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Open PO</a:t>
          </a:r>
        </a:p>
      </xdr:txBody>
    </xdr:sp>
    <xdr:clientData/>
  </xdr:twoCellAnchor>
  <xdr:twoCellAnchor>
    <xdr:from>
      <xdr:col>2</xdr:col>
      <xdr:colOff>1143000</xdr:colOff>
      <xdr:row>3</xdr:row>
      <xdr:rowOff>247650</xdr:rowOff>
    </xdr:from>
    <xdr:to>
      <xdr:col>3</xdr:col>
      <xdr:colOff>542925</xdr:colOff>
      <xdr:row>5</xdr:row>
      <xdr:rowOff>104775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657475" y="647700"/>
          <a:ext cx="1190625" cy="266700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Summary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95250</xdr:rowOff>
    </xdr:from>
    <xdr:to>
      <xdr:col>0</xdr:col>
      <xdr:colOff>533400</xdr:colOff>
      <xdr:row>5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525" y="581025"/>
          <a:ext cx="523875" cy="266700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Daily</a:t>
          </a:r>
        </a:p>
      </xdr:txBody>
    </xdr:sp>
    <xdr:clientData/>
  </xdr:twoCellAnchor>
  <xdr:twoCellAnchor>
    <xdr:from>
      <xdr:col>0</xdr:col>
      <xdr:colOff>523875</xdr:colOff>
      <xdr:row>3</xdr:row>
      <xdr:rowOff>95250</xdr:rowOff>
    </xdr:from>
    <xdr:to>
      <xdr:col>0</xdr:col>
      <xdr:colOff>1152525</xdr:colOff>
      <xdr:row>5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23875" y="581025"/>
          <a:ext cx="628650" cy="266700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Weekly</a:t>
          </a:r>
        </a:p>
      </xdr:txBody>
    </xdr:sp>
    <xdr:clientData/>
  </xdr:twoCellAnchor>
  <xdr:twoCellAnchor>
    <xdr:from>
      <xdr:col>0</xdr:col>
      <xdr:colOff>1143000</xdr:colOff>
      <xdr:row>3</xdr:row>
      <xdr:rowOff>95250</xdr:rowOff>
    </xdr:from>
    <xdr:to>
      <xdr:col>1</xdr:col>
      <xdr:colOff>514350</xdr:colOff>
      <xdr:row>5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143000" y="581025"/>
          <a:ext cx="571500" cy="266700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Monthly</a:t>
          </a:r>
        </a:p>
      </xdr:txBody>
    </xdr:sp>
    <xdr:clientData/>
  </xdr:twoCellAnchor>
  <xdr:twoCellAnchor>
    <xdr:from>
      <xdr:col>1</xdr:col>
      <xdr:colOff>381000</xdr:colOff>
      <xdr:row>3</xdr:row>
      <xdr:rowOff>104775</xdr:rowOff>
    </xdr:from>
    <xdr:to>
      <xdr:col>1</xdr:col>
      <xdr:colOff>981075</xdr:colOff>
      <xdr:row>5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581150" y="590550"/>
          <a:ext cx="600075" cy="25717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DWM</a:t>
          </a:r>
        </a:p>
      </xdr:txBody>
    </xdr:sp>
    <xdr:clientData/>
  </xdr:twoCellAnchor>
  <xdr:twoCellAnchor>
    <xdr:from>
      <xdr:col>1</xdr:col>
      <xdr:colOff>933450</xdr:colOff>
      <xdr:row>3</xdr:row>
      <xdr:rowOff>95250</xdr:rowOff>
    </xdr:from>
    <xdr:to>
      <xdr:col>1</xdr:col>
      <xdr:colOff>1543050</xdr:colOff>
      <xdr:row>5</xdr:row>
      <xdr:rowOff>38100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133600" y="581025"/>
          <a:ext cx="609600" cy="266700"/>
        </a:xfrm>
        <a:prstGeom prst="rect">
          <a:avLst/>
        </a:prstGeom>
        <a:solidFill>
          <a:srgbClr val="FFFF99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Open PO</a:t>
          </a:r>
        </a:p>
      </xdr:txBody>
    </xdr:sp>
    <xdr:clientData/>
  </xdr:twoCellAnchor>
  <xdr:twoCellAnchor>
    <xdr:from>
      <xdr:col>1</xdr:col>
      <xdr:colOff>1543050</xdr:colOff>
      <xdr:row>3</xdr:row>
      <xdr:rowOff>95250</xdr:rowOff>
    </xdr:from>
    <xdr:to>
      <xdr:col>2</xdr:col>
      <xdr:colOff>638175</xdr:colOff>
      <xdr:row>5</xdr:row>
      <xdr:rowOff>38100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743200" y="581025"/>
          <a:ext cx="762000" cy="266700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Summary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0</xdr:col>
      <xdr:colOff>485775</xdr:colOff>
      <xdr:row>5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581025"/>
          <a:ext cx="485775" cy="2381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Daily</a:t>
          </a:r>
        </a:p>
      </xdr:txBody>
    </xdr:sp>
    <xdr:clientData/>
  </xdr:twoCellAnchor>
  <xdr:twoCellAnchor>
    <xdr:from>
      <xdr:col>0</xdr:col>
      <xdr:colOff>476250</xdr:colOff>
      <xdr:row>3</xdr:row>
      <xdr:rowOff>95250</xdr:rowOff>
    </xdr:from>
    <xdr:to>
      <xdr:col>0</xdr:col>
      <xdr:colOff>1143000</xdr:colOff>
      <xdr:row>5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476250" y="581025"/>
          <a:ext cx="666750" cy="2381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Weekly</a:t>
          </a:r>
        </a:p>
      </xdr:txBody>
    </xdr:sp>
    <xdr:clientData/>
  </xdr:twoCellAnchor>
  <xdr:twoCellAnchor>
    <xdr:from>
      <xdr:col>0</xdr:col>
      <xdr:colOff>1123950</xdr:colOff>
      <xdr:row>3</xdr:row>
      <xdr:rowOff>95250</xdr:rowOff>
    </xdr:from>
    <xdr:to>
      <xdr:col>1</xdr:col>
      <xdr:colOff>666750</xdr:colOff>
      <xdr:row>5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123950" y="581025"/>
          <a:ext cx="742950" cy="2381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Monthly</a:t>
          </a:r>
        </a:p>
      </xdr:txBody>
    </xdr:sp>
    <xdr:clientData/>
  </xdr:twoCellAnchor>
  <xdr:twoCellAnchor>
    <xdr:from>
      <xdr:col>1</xdr:col>
      <xdr:colOff>400050</xdr:colOff>
      <xdr:row>3</xdr:row>
      <xdr:rowOff>104775</xdr:rowOff>
    </xdr:from>
    <xdr:to>
      <xdr:col>1</xdr:col>
      <xdr:colOff>971550</xdr:colOff>
      <xdr:row>5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00200" y="590550"/>
          <a:ext cx="571500" cy="25717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DWM</a:t>
          </a:r>
        </a:p>
      </xdr:txBody>
    </xdr:sp>
    <xdr:clientData/>
  </xdr:twoCellAnchor>
  <xdr:twoCellAnchor>
    <xdr:from>
      <xdr:col>1</xdr:col>
      <xdr:colOff>933450</xdr:colOff>
      <xdr:row>3</xdr:row>
      <xdr:rowOff>95250</xdr:rowOff>
    </xdr:from>
    <xdr:to>
      <xdr:col>2</xdr:col>
      <xdr:colOff>409575</xdr:colOff>
      <xdr:row>5</xdr:row>
      <xdr:rowOff>9525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2133600" y="581025"/>
          <a:ext cx="666750" cy="238125"/>
        </a:xfrm>
        <a:prstGeom prst="rect">
          <a:avLst/>
        </a:prstGeom>
        <a:solidFill>
          <a:srgbClr val="FFFFFF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Open PO</a:t>
          </a:r>
        </a:p>
      </xdr:txBody>
    </xdr:sp>
    <xdr:clientData/>
  </xdr:twoCellAnchor>
  <xdr:twoCellAnchor>
    <xdr:from>
      <xdr:col>2</xdr:col>
      <xdr:colOff>209550</xdr:colOff>
      <xdr:row>3</xdr:row>
      <xdr:rowOff>104775</xdr:rowOff>
    </xdr:from>
    <xdr:to>
      <xdr:col>2</xdr:col>
      <xdr:colOff>990600</xdr:colOff>
      <xdr:row>5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2600325" y="590550"/>
          <a:ext cx="781050" cy="228600"/>
        </a:xfrm>
        <a:prstGeom prst="rect">
          <a:avLst/>
        </a:prstGeom>
        <a:solidFill>
          <a:srgbClr val="FFFF99"/>
        </a:solidFill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lIns="27432" tIns="22860" rIns="27432" bIns="0" anchorCtr="0"/>
        <a:lstStyle/>
        <a:p>
          <a:pPr>
            <a:defRPr/>
          </a:pPr>
          <a:r>
            <a:rPr lang="en-US" sz="1000" u="none" baseline="0">
              <a:latin typeface="Calibri"/>
              <a:ea typeface="Calibri"/>
              <a:cs typeface="Calibri"/>
            </a:rPr>
            <a:t>Summary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109375" defaultRowHeight="14.4" x14ac:dyDescent="0.35"/>
  <cols>
    <col min="1" max="1" width="5.33203125" style="1" customWidth="1"/>
    <col min="2" max="2" width="17.44140625" style="1" customWidth="1"/>
    <col min="3" max="3" width="26.88671875" style="1" customWidth="1"/>
    <col min="4" max="4" width="13.88671875" style="1" customWidth="1"/>
    <col min="5" max="5" width="15.33203125" style="1" customWidth="1"/>
    <col min="6" max="6" width="16.33203125" style="1" customWidth="1"/>
    <col min="7" max="7" width="13.88671875" style="1" customWidth="1"/>
    <col min="8" max="8" width="21.33203125" style="1" customWidth="1"/>
    <col min="9" max="9" width="38" style="1" customWidth="1"/>
    <col min="10" max="10" width="9" style="1" customWidth="1"/>
    <col min="11" max="11" width="9.109375" style="1" customWidth="1"/>
    <col min="12" max="16384" width="9.109375" style="1"/>
  </cols>
  <sheetData>
    <row r="1" spans="2:6" x14ac:dyDescent="0.35">
      <c r="B1" s="2" t="s">
        <v>0</v>
      </c>
      <c r="D1" s="2" t="s">
        <v>1</v>
      </c>
      <c r="F1" s="2" t="s">
        <v>2</v>
      </c>
    </row>
    <row r="2" spans="2:6" x14ac:dyDescent="0.35">
      <c r="B2" s="2" t="s">
        <v>3</v>
      </c>
      <c r="D2" s="2" t="s">
        <v>4</v>
      </c>
      <c r="F2" s="2" t="s">
        <v>5</v>
      </c>
    </row>
    <row r="3" spans="2:6" x14ac:dyDescent="0.35">
      <c r="B3" s="2" t="s">
        <v>6</v>
      </c>
      <c r="F3" s="2" t="s">
        <v>7</v>
      </c>
    </row>
  </sheetData>
  <phoneticPr fontId="3" type="noConversion"/>
  <pageMargins left="0.75" right="0.75" top="1" bottom="1" header="0.5" footer="0.5"/>
  <pageSetup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57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109375" defaultRowHeight="14.4" x14ac:dyDescent="0.35"/>
  <cols>
    <col min="1" max="1" width="5.33203125" style="1" customWidth="1"/>
    <col min="2" max="2" width="17.44140625" style="1" customWidth="1"/>
    <col min="3" max="3" width="26.88671875" style="1" customWidth="1"/>
    <col min="4" max="4" width="13.88671875" style="1" customWidth="1"/>
    <col min="5" max="5" width="15.33203125" style="1" customWidth="1"/>
    <col min="6" max="6" width="16.33203125" style="1" customWidth="1"/>
    <col min="7" max="7" width="13.88671875" style="1" customWidth="1"/>
    <col min="8" max="8" width="21.33203125" style="1" customWidth="1"/>
    <col min="9" max="9" width="38" style="1" customWidth="1"/>
    <col min="10" max="10" width="9" style="1" customWidth="1"/>
    <col min="11" max="62" width="14" style="1" customWidth="1"/>
    <col min="63" max="63" width="20.33203125" style="1" customWidth="1"/>
    <col min="64" max="64" width="17.88671875" style="1" customWidth="1"/>
    <col min="65" max="65" width="14" style="1" customWidth="1"/>
    <col min="66" max="66" width="10.33203125" style="1" customWidth="1"/>
    <col min="67" max="67" width="19" style="1" customWidth="1"/>
    <col min="68" max="68" width="35.33203125" style="1" customWidth="1"/>
    <col min="69" max="69" width="20.33203125" style="1" customWidth="1"/>
    <col min="70" max="70" width="13.88671875" style="1" customWidth="1"/>
    <col min="71" max="71" width="9.109375" style="1" customWidth="1"/>
    <col min="72" max="72" width="9.109375" style="1" hidden="1" customWidth="1"/>
    <col min="73" max="73" width="9.109375" style="1" customWidth="1"/>
    <col min="74" max="16384" width="9.109375" style="1"/>
  </cols>
  <sheetData>
    <row r="1" spans="1:72" x14ac:dyDescent="0.35">
      <c r="B1" s="2" t="s">
        <v>0</v>
      </c>
      <c r="C1" s="1" t="s">
        <v>8</v>
      </c>
      <c r="D1" s="2" t="s">
        <v>1</v>
      </c>
      <c r="E1" s="1" t="s">
        <v>9</v>
      </c>
      <c r="F1" s="2" t="s">
        <v>2</v>
      </c>
      <c r="G1" s="1" t="s">
        <v>10</v>
      </c>
    </row>
    <row r="2" spans="1:72" x14ac:dyDescent="0.35">
      <c r="B2" s="2" t="s">
        <v>3</v>
      </c>
      <c r="C2" s="1" t="s">
        <v>11</v>
      </c>
      <c r="D2" s="2" t="s">
        <v>4</v>
      </c>
      <c r="E2" s="1" t="s">
        <v>12</v>
      </c>
      <c r="F2" s="2" t="s">
        <v>5</v>
      </c>
      <c r="G2" s="1" t="s">
        <v>13</v>
      </c>
    </row>
    <row r="3" spans="1:72" x14ac:dyDescent="0.35">
      <c r="B3" s="2" t="s">
        <v>6</v>
      </c>
      <c r="C3" s="1" t="s">
        <v>14</v>
      </c>
      <c r="F3" s="2" t="s">
        <v>7</v>
      </c>
      <c r="G3" s="1" t="s">
        <v>15</v>
      </c>
    </row>
    <row r="7" spans="1:72" ht="15" thickBot="1" x14ac:dyDescent="0.4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25</v>
      </c>
      <c r="K7" s="3" t="s">
        <v>12</v>
      </c>
      <c r="L7" s="3" t="s">
        <v>26</v>
      </c>
      <c r="M7" s="3" t="s">
        <v>27</v>
      </c>
      <c r="N7" s="3" t="s">
        <v>28</v>
      </c>
      <c r="O7" s="3" t="s">
        <v>29</v>
      </c>
      <c r="P7" s="3" t="s">
        <v>30</v>
      </c>
      <c r="Q7" s="3" t="s">
        <v>31</v>
      </c>
      <c r="R7" s="3" t="s">
        <v>32</v>
      </c>
      <c r="S7" s="3" t="s">
        <v>33</v>
      </c>
      <c r="T7" s="3" t="s">
        <v>34</v>
      </c>
      <c r="U7" s="3" t="s">
        <v>35</v>
      </c>
      <c r="V7" s="3" t="s">
        <v>36</v>
      </c>
      <c r="W7" s="3" t="s">
        <v>37</v>
      </c>
      <c r="X7" s="3" t="s">
        <v>38</v>
      </c>
      <c r="Y7" s="3" t="s">
        <v>39</v>
      </c>
      <c r="Z7" s="3" t="s">
        <v>40</v>
      </c>
      <c r="AA7" s="3" t="s">
        <v>41</v>
      </c>
      <c r="AB7" s="3" t="s">
        <v>42</v>
      </c>
      <c r="AC7" s="3" t="s">
        <v>43</v>
      </c>
      <c r="AD7" s="3" t="s">
        <v>44</v>
      </c>
      <c r="AE7" s="3" t="s">
        <v>45</v>
      </c>
      <c r="AF7" s="3" t="s">
        <v>46</v>
      </c>
      <c r="AG7" s="3" t="s">
        <v>47</v>
      </c>
      <c r="AH7" s="3" t="s">
        <v>48</v>
      </c>
      <c r="AI7" s="3" t="s">
        <v>49</v>
      </c>
      <c r="AJ7" s="3" t="s">
        <v>50</v>
      </c>
      <c r="AK7" s="3" t="s">
        <v>51</v>
      </c>
      <c r="AL7" s="3" t="s">
        <v>52</v>
      </c>
      <c r="AM7" s="3" t="s">
        <v>53</v>
      </c>
      <c r="AN7" s="3" t="s">
        <v>54</v>
      </c>
      <c r="AO7" s="3" t="s">
        <v>55</v>
      </c>
      <c r="AP7" s="3" t="s">
        <v>56</v>
      </c>
      <c r="AQ7" s="3" t="s">
        <v>57</v>
      </c>
      <c r="AR7" s="3" t="s">
        <v>58</v>
      </c>
      <c r="AS7" s="3" t="s">
        <v>59</v>
      </c>
      <c r="AT7" s="3" t="s">
        <v>60</v>
      </c>
      <c r="AU7" s="3" t="s">
        <v>61</v>
      </c>
      <c r="AV7" s="3" t="s">
        <v>62</v>
      </c>
      <c r="AW7" s="3" t="s">
        <v>63</v>
      </c>
      <c r="AX7" s="3" t="s">
        <v>64</v>
      </c>
      <c r="AY7" s="3" t="s">
        <v>65</v>
      </c>
      <c r="AZ7" s="3" t="s">
        <v>66</v>
      </c>
      <c r="BA7" s="3" t="s">
        <v>67</v>
      </c>
      <c r="BB7" s="3" t="s">
        <v>68</v>
      </c>
      <c r="BC7" s="3" t="s">
        <v>69</v>
      </c>
      <c r="BD7" s="3" t="s">
        <v>70</v>
      </c>
      <c r="BE7" s="3" t="s">
        <v>71</v>
      </c>
      <c r="BF7" s="3" t="s">
        <v>72</v>
      </c>
      <c r="BG7" s="3" t="s">
        <v>73</v>
      </c>
      <c r="BH7" s="3" t="s">
        <v>74</v>
      </c>
      <c r="BI7" s="3" t="s">
        <v>75</v>
      </c>
      <c r="BJ7" s="3" t="s">
        <v>76</v>
      </c>
      <c r="BK7" s="3" t="s">
        <v>77</v>
      </c>
      <c r="BL7" s="3" t="s">
        <v>78</v>
      </c>
      <c r="BM7" s="3" t="s">
        <v>79</v>
      </c>
      <c r="BN7" s="3" t="s">
        <v>80</v>
      </c>
      <c r="BO7" s="3" t="s">
        <v>81</v>
      </c>
      <c r="BP7" s="3" t="s">
        <v>82</v>
      </c>
      <c r="BQ7" s="3" t="s">
        <v>83</v>
      </c>
      <c r="BR7" s="3" t="s">
        <v>84</v>
      </c>
    </row>
    <row r="8" spans="1:72" ht="15" thickBot="1" x14ac:dyDescent="0.4">
      <c r="A8" s="1" t="s">
        <v>85</v>
      </c>
      <c r="B8" s="4" t="s">
        <v>86</v>
      </c>
      <c r="C8" s="4" t="s">
        <v>87</v>
      </c>
      <c r="D8" s="4" t="s">
        <v>88</v>
      </c>
      <c r="E8" s="4"/>
      <c r="F8" s="4"/>
      <c r="G8" s="4" t="s">
        <v>89</v>
      </c>
      <c r="H8" s="4" t="s">
        <v>90</v>
      </c>
      <c r="I8" s="4" t="s">
        <v>91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43</v>
      </c>
      <c r="W8" s="4">
        <v>0</v>
      </c>
      <c r="X8" s="4">
        <v>0</v>
      </c>
      <c r="Y8" s="4">
        <v>0</v>
      </c>
      <c r="Z8" s="4">
        <v>0</v>
      </c>
      <c r="AA8" s="4">
        <v>35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f>SUM(J8:BK8)</f>
        <v>78</v>
      </c>
      <c r="BM8" s="4">
        <v>3000</v>
      </c>
      <c r="BN8" s="4">
        <v>0</v>
      </c>
      <c r="BO8" s="4">
        <v>3000</v>
      </c>
      <c r="BP8" s="4">
        <v>0</v>
      </c>
      <c r="BQ8" s="4">
        <v>0</v>
      </c>
      <c r="BR8" s="4"/>
      <c r="BT8" s="1" t="s">
        <v>92</v>
      </c>
    </row>
    <row r="9" spans="1:72" x14ac:dyDescent="0.35">
      <c r="B9" s="1" t="s">
        <v>86</v>
      </c>
      <c r="C9" s="1" t="s">
        <v>93</v>
      </c>
      <c r="H9" s="4" t="s">
        <v>94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T9" s="1" t="s">
        <v>92</v>
      </c>
    </row>
    <row r="10" spans="1:72" ht="15" thickBot="1" x14ac:dyDescent="0.4">
      <c r="B10" s="1" t="s">
        <v>86</v>
      </c>
      <c r="C10" s="1" t="s">
        <v>95</v>
      </c>
      <c r="J10" s="1">
        <f>J9-J8</f>
        <v>0</v>
      </c>
      <c r="K10" s="1">
        <f t="shared" ref="K10:AP10" si="0">K9-K8+J10</f>
        <v>0</v>
      </c>
      <c r="L10" s="1">
        <f t="shared" si="0"/>
        <v>0</v>
      </c>
      <c r="M10" s="1">
        <f t="shared" si="0"/>
        <v>0</v>
      </c>
      <c r="N10" s="1">
        <f t="shared" si="0"/>
        <v>0</v>
      </c>
      <c r="O10" s="1">
        <f t="shared" si="0"/>
        <v>0</v>
      </c>
      <c r="P10" s="1">
        <f t="shared" si="0"/>
        <v>0</v>
      </c>
      <c r="Q10" s="1">
        <f t="shared" si="0"/>
        <v>0</v>
      </c>
      <c r="R10" s="1">
        <f t="shared" si="0"/>
        <v>0</v>
      </c>
      <c r="S10" s="1">
        <f t="shared" si="0"/>
        <v>0</v>
      </c>
      <c r="T10" s="1">
        <f t="shared" si="0"/>
        <v>0</v>
      </c>
      <c r="U10" s="1">
        <f t="shared" si="0"/>
        <v>0</v>
      </c>
      <c r="V10" s="1">
        <f t="shared" si="0"/>
        <v>-43</v>
      </c>
      <c r="W10" s="1">
        <f t="shared" si="0"/>
        <v>-43</v>
      </c>
      <c r="X10" s="1">
        <f t="shared" si="0"/>
        <v>-43</v>
      </c>
      <c r="Y10" s="1">
        <f t="shared" si="0"/>
        <v>-43</v>
      </c>
      <c r="Z10" s="1">
        <f t="shared" si="0"/>
        <v>-43</v>
      </c>
      <c r="AA10" s="1">
        <f t="shared" si="0"/>
        <v>-78</v>
      </c>
      <c r="AB10" s="1">
        <f t="shared" si="0"/>
        <v>-78</v>
      </c>
      <c r="AC10" s="1">
        <f t="shared" si="0"/>
        <v>-78</v>
      </c>
      <c r="AD10" s="1">
        <f t="shared" si="0"/>
        <v>-78</v>
      </c>
      <c r="AE10" s="1">
        <f t="shared" si="0"/>
        <v>-78</v>
      </c>
      <c r="AF10" s="1">
        <f t="shared" si="0"/>
        <v>-78</v>
      </c>
      <c r="AG10" s="1">
        <f t="shared" si="0"/>
        <v>-78</v>
      </c>
      <c r="AH10" s="1">
        <f t="shared" si="0"/>
        <v>-78</v>
      </c>
      <c r="AI10" s="1">
        <f t="shared" si="0"/>
        <v>-78</v>
      </c>
      <c r="AJ10" s="1">
        <f t="shared" si="0"/>
        <v>-78</v>
      </c>
      <c r="AK10" s="1">
        <f t="shared" si="0"/>
        <v>-78</v>
      </c>
      <c r="AL10" s="1">
        <f t="shared" si="0"/>
        <v>-78</v>
      </c>
      <c r="AM10" s="1">
        <f t="shared" si="0"/>
        <v>-78</v>
      </c>
      <c r="AN10" s="1">
        <f t="shared" si="0"/>
        <v>-78</v>
      </c>
      <c r="AO10" s="1">
        <f t="shared" si="0"/>
        <v>-78</v>
      </c>
      <c r="AP10" s="1">
        <f t="shared" si="0"/>
        <v>-78</v>
      </c>
      <c r="AQ10" s="1">
        <f t="shared" ref="AQ10:BJ10" si="1">AQ9-AQ8+AP10</f>
        <v>-78</v>
      </c>
      <c r="AR10" s="1">
        <f t="shared" si="1"/>
        <v>-78</v>
      </c>
      <c r="AS10" s="1">
        <f t="shared" si="1"/>
        <v>-78</v>
      </c>
      <c r="AT10" s="1">
        <f t="shared" si="1"/>
        <v>-78</v>
      </c>
      <c r="AU10" s="1">
        <f t="shared" si="1"/>
        <v>-78</v>
      </c>
      <c r="AV10" s="1">
        <f t="shared" si="1"/>
        <v>-78</v>
      </c>
      <c r="AW10" s="1">
        <f t="shared" si="1"/>
        <v>-78</v>
      </c>
      <c r="AX10" s="1">
        <f t="shared" si="1"/>
        <v>-78</v>
      </c>
      <c r="AY10" s="1">
        <f t="shared" si="1"/>
        <v>-78</v>
      </c>
      <c r="AZ10" s="1">
        <f t="shared" si="1"/>
        <v>-78</v>
      </c>
      <c r="BA10" s="1">
        <f t="shared" si="1"/>
        <v>-78</v>
      </c>
      <c r="BB10" s="1">
        <f t="shared" si="1"/>
        <v>-78</v>
      </c>
      <c r="BC10" s="1">
        <f t="shared" si="1"/>
        <v>-78</v>
      </c>
      <c r="BD10" s="1">
        <f t="shared" si="1"/>
        <v>-78</v>
      </c>
      <c r="BE10" s="1">
        <f t="shared" si="1"/>
        <v>-78</v>
      </c>
      <c r="BF10" s="1">
        <f t="shared" si="1"/>
        <v>-78</v>
      </c>
      <c r="BG10" s="1">
        <f t="shared" si="1"/>
        <v>-78</v>
      </c>
      <c r="BH10" s="1">
        <f t="shared" si="1"/>
        <v>-78</v>
      </c>
      <c r="BI10" s="1">
        <f t="shared" si="1"/>
        <v>-78</v>
      </c>
      <c r="BJ10" s="1">
        <f t="shared" si="1"/>
        <v>-78</v>
      </c>
      <c r="BT10" s="1" t="s">
        <v>92</v>
      </c>
    </row>
    <row r="11" spans="1:72" ht="15" thickBot="1" x14ac:dyDescent="0.4">
      <c r="A11" s="1" t="s">
        <v>85</v>
      </c>
      <c r="B11" s="4" t="s">
        <v>96</v>
      </c>
      <c r="C11" s="4" t="s">
        <v>87</v>
      </c>
      <c r="D11" s="4" t="s">
        <v>88</v>
      </c>
      <c r="E11" s="4"/>
      <c r="F11" s="4"/>
      <c r="G11" s="4" t="s">
        <v>89</v>
      </c>
      <c r="H11" s="4" t="s">
        <v>97</v>
      </c>
      <c r="I11" s="4" t="s">
        <v>98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14425</v>
      </c>
      <c r="S11" s="4">
        <v>0</v>
      </c>
      <c r="T11" s="4">
        <v>0</v>
      </c>
      <c r="U11" s="4">
        <v>0</v>
      </c>
      <c r="V11" s="4">
        <v>46729</v>
      </c>
      <c r="W11" s="4">
        <v>2880</v>
      </c>
      <c r="X11" s="4">
        <v>0</v>
      </c>
      <c r="Y11" s="4">
        <v>0</v>
      </c>
      <c r="Z11" s="4">
        <v>0</v>
      </c>
      <c r="AA11" s="4">
        <v>7980</v>
      </c>
      <c r="AB11" s="4">
        <v>131</v>
      </c>
      <c r="AC11" s="4">
        <v>131</v>
      </c>
      <c r="AD11" s="4">
        <v>131</v>
      </c>
      <c r="AE11" s="4">
        <v>10379</v>
      </c>
      <c r="AF11" s="4">
        <v>5072</v>
      </c>
      <c r="AG11" s="4">
        <v>3100</v>
      </c>
      <c r="AH11" s="4">
        <v>1112</v>
      </c>
      <c r="AI11" s="4">
        <v>1112</v>
      </c>
      <c r="AJ11" s="4">
        <v>9377</v>
      </c>
      <c r="AK11" s="4">
        <v>1468</v>
      </c>
      <c r="AL11" s="4">
        <v>1468</v>
      </c>
      <c r="AM11" s="4">
        <v>14382</v>
      </c>
      <c r="AN11" s="4">
        <v>7404</v>
      </c>
      <c r="AO11" s="4">
        <v>2588</v>
      </c>
      <c r="AP11" s="4">
        <v>2036</v>
      </c>
      <c r="AQ11" s="4">
        <v>2036</v>
      </c>
      <c r="AR11" s="4">
        <v>9608</v>
      </c>
      <c r="AS11" s="4">
        <v>858</v>
      </c>
      <c r="AT11" s="4">
        <v>858</v>
      </c>
      <c r="AU11" s="4">
        <v>858</v>
      </c>
      <c r="AV11" s="4">
        <v>858</v>
      </c>
      <c r="AW11" s="4">
        <v>1655</v>
      </c>
      <c r="AX11" s="4">
        <v>1851</v>
      </c>
      <c r="AY11" s="4">
        <v>1851</v>
      </c>
      <c r="AZ11" s="4">
        <v>7042</v>
      </c>
      <c r="BA11" s="4">
        <v>11483</v>
      </c>
      <c r="BB11" s="4">
        <v>10000</v>
      </c>
      <c r="BC11" s="4">
        <v>10000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f>SUM(J11:BK11)</f>
        <v>190863</v>
      </c>
      <c r="BM11" s="4">
        <v>203400</v>
      </c>
      <c r="BN11" s="4">
        <v>0</v>
      </c>
      <c r="BO11" s="4">
        <v>1800</v>
      </c>
      <c r="BP11" s="4">
        <v>0</v>
      </c>
      <c r="BQ11" s="4">
        <v>0</v>
      </c>
      <c r="BR11" s="4"/>
      <c r="BT11" s="1" t="s">
        <v>99</v>
      </c>
    </row>
    <row r="12" spans="1:72" x14ac:dyDescent="0.35">
      <c r="B12" s="1" t="s">
        <v>96</v>
      </c>
      <c r="C12" s="1" t="s">
        <v>93</v>
      </c>
      <c r="H12" s="4" t="s">
        <v>100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T12" s="1" t="s">
        <v>99</v>
      </c>
    </row>
    <row r="13" spans="1:72" ht="15" thickBot="1" x14ac:dyDescent="0.4">
      <c r="B13" s="1" t="s">
        <v>96</v>
      </c>
      <c r="C13" s="1" t="s">
        <v>95</v>
      </c>
      <c r="J13" s="1">
        <f>J12-J11</f>
        <v>0</v>
      </c>
      <c r="K13" s="1">
        <f t="shared" ref="K13:AP13" si="2">K12-K11+J13</f>
        <v>0</v>
      </c>
      <c r="L13" s="1">
        <f t="shared" si="2"/>
        <v>0</v>
      </c>
      <c r="M13" s="1">
        <f t="shared" si="2"/>
        <v>0</v>
      </c>
      <c r="N13" s="1">
        <f t="shared" si="2"/>
        <v>0</v>
      </c>
      <c r="O13" s="1">
        <f t="shared" si="2"/>
        <v>0</v>
      </c>
      <c r="P13" s="1">
        <f t="shared" si="2"/>
        <v>0</v>
      </c>
      <c r="Q13" s="1">
        <f t="shared" si="2"/>
        <v>0</v>
      </c>
      <c r="R13" s="1">
        <f t="shared" si="2"/>
        <v>-14425</v>
      </c>
      <c r="S13" s="1">
        <f t="shared" si="2"/>
        <v>-14425</v>
      </c>
      <c r="T13" s="1">
        <f t="shared" si="2"/>
        <v>-14425</v>
      </c>
      <c r="U13" s="1">
        <f t="shared" si="2"/>
        <v>-14425</v>
      </c>
      <c r="V13" s="1">
        <f t="shared" si="2"/>
        <v>-61154</v>
      </c>
      <c r="W13" s="1">
        <f t="shared" si="2"/>
        <v>-64034</v>
      </c>
      <c r="X13" s="1">
        <f t="shared" si="2"/>
        <v>-64034</v>
      </c>
      <c r="Y13" s="1">
        <f t="shared" si="2"/>
        <v>-64034</v>
      </c>
      <c r="Z13" s="1">
        <f t="shared" si="2"/>
        <v>-64034</v>
      </c>
      <c r="AA13" s="1">
        <f t="shared" si="2"/>
        <v>-72014</v>
      </c>
      <c r="AB13" s="1">
        <f t="shared" si="2"/>
        <v>-72145</v>
      </c>
      <c r="AC13" s="1">
        <f t="shared" si="2"/>
        <v>-72276</v>
      </c>
      <c r="AD13" s="1">
        <f t="shared" si="2"/>
        <v>-72407</v>
      </c>
      <c r="AE13" s="1">
        <f t="shared" si="2"/>
        <v>-82786</v>
      </c>
      <c r="AF13" s="1">
        <f t="shared" si="2"/>
        <v>-87858</v>
      </c>
      <c r="AG13" s="1">
        <f t="shared" si="2"/>
        <v>-90958</v>
      </c>
      <c r="AH13" s="1">
        <f t="shared" si="2"/>
        <v>-92070</v>
      </c>
      <c r="AI13" s="1">
        <f t="shared" si="2"/>
        <v>-93182</v>
      </c>
      <c r="AJ13" s="1">
        <f t="shared" si="2"/>
        <v>-102559</v>
      </c>
      <c r="AK13" s="1">
        <f t="shared" si="2"/>
        <v>-104027</v>
      </c>
      <c r="AL13" s="1">
        <f t="shared" si="2"/>
        <v>-105495</v>
      </c>
      <c r="AM13" s="1">
        <f t="shared" si="2"/>
        <v>-119877</v>
      </c>
      <c r="AN13" s="1">
        <f t="shared" si="2"/>
        <v>-127281</v>
      </c>
      <c r="AO13" s="1">
        <f t="shared" si="2"/>
        <v>-129869</v>
      </c>
      <c r="AP13" s="1">
        <f t="shared" si="2"/>
        <v>-131905</v>
      </c>
      <c r="AQ13" s="1">
        <f t="shared" ref="AQ13:BJ13" si="3">AQ12-AQ11+AP13</f>
        <v>-133941</v>
      </c>
      <c r="AR13" s="1">
        <f t="shared" si="3"/>
        <v>-143549</v>
      </c>
      <c r="AS13" s="1">
        <f t="shared" si="3"/>
        <v>-144407</v>
      </c>
      <c r="AT13" s="1">
        <f t="shared" si="3"/>
        <v>-145265</v>
      </c>
      <c r="AU13" s="1">
        <f t="shared" si="3"/>
        <v>-146123</v>
      </c>
      <c r="AV13" s="1">
        <f t="shared" si="3"/>
        <v>-146981</v>
      </c>
      <c r="AW13" s="1">
        <f t="shared" si="3"/>
        <v>-148636</v>
      </c>
      <c r="AX13" s="1">
        <f t="shared" si="3"/>
        <v>-150487</v>
      </c>
      <c r="AY13" s="1">
        <f t="shared" si="3"/>
        <v>-152338</v>
      </c>
      <c r="AZ13" s="1">
        <f t="shared" si="3"/>
        <v>-159380</v>
      </c>
      <c r="BA13" s="1">
        <f t="shared" si="3"/>
        <v>-170863</v>
      </c>
      <c r="BB13" s="1">
        <f t="shared" si="3"/>
        <v>-180863</v>
      </c>
      <c r="BC13" s="1">
        <f t="shared" si="3"/>
        <v>-190863</v>
      </c>
      <c r="BD13" s="1">
        <f t="shared" si="3"/>
        <v>-190863</v>
      </c>
      <c r="BE13" s="1">
        <f t="shared" si="3"/>
        <v>-190863</v>
      </c>
      <c r="BF13" s="1">
        <f t="shared" si="3"/>
        <v>-190863</v>
      </c>
      <c r="BG13" s="1">
        <f t="shared" si="3"/>
        <v>-190863</v>
      </c>
      <c r="BH13" s="1">
        <f t="shared" si="3"/>
        <v>-190863</v>
      </c>
      <c r="BI13" s="1">
        <f t="shared" si="3"/>
        <v>-190863</v>
      </c>
      <c r="BJ13" s="1">
        <f t="shared" si="3"/>
        <v>-190863</v>
      </c>
      <c r="BT13" s="1" t="s">
        <v>99</v>
      </c>
    </row>
    <row r="14" spans="1:72" ht="15" thickBot="1" x14ac:dyDescent="0.4">
      <c r="A14" s="1" t="s">
        <v>85</v>
      </c>
      <c r="B14" s="4" t="s">
        <v>101</v>
      </c>
      <c r="C14" s="4" t="s">
        <v>87</v>
      </c>
      <c r="D14" s="4" t="s">
        <v>88</v>
      </c>
      <c r="E14" s="4"/>
      <c r="F14" s="4"/>
      <c r="G14" s="4" t="s">
        <v>89</v>
      </c>
      <c r="H14" s="4" t="s">
        <v>102</v>
      </c>
      <c r="I14" s="4" t="s">
        <v>98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3477</v>
      </c>
      <c r="AG14" s="4">
        <v>0</v>
      </c>
      <c r="AH14" s="4">
        <v>0</v>
      </c>
      <c r="AI14" s="4">
        <v>0</v>
      </c>
      <c r="AJ14" s="4">
        <v>4212</v>
      </c>
      <c r="AK14" s="4">
        <v>0</v>
      </c>
      <c r="AL14" s="4">
        <v>0</v>
      </c>
      <c r="AM14" s="4">
        <v>4194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4194</v>
      </c>
      <c r="AT14" s="4">
        <v>0</v>
      </c>
      <c r="AU14" s="4">
        <v>0</v>
      </c>
      <c r="AV14" s="4">
        <v>0</v>
      </c>
      <c r="AW14" s="4">
        <v>4212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f>SUM(J14:BK14)</f>
        <v>20289</v>
      </c>
      <c r="BM14" s="4">
        <v>26400</v>
      </c>
      <c r="BN14" s="4">
        <v>0</v>
      </c>
      <c r="BO14" s="4">
        <v>800</v>
      </c>
      <c r="BP14" s="4">
        <v>0</v>
      </c>
      <c r="BQ14" s="4">
        <v>0</v>
      </c>
      <c r="BR14" s="4"/>
      <c r="BT14" s="1" t="s">
        <v>103</v>
      </c>
    </row>
    <row r="15" spans="1:72" x14ac:dyDescent="0.35">
      <c r="B15" s="1" t="s">
        <v>101</v>
      </c>
      <c r="C15" s="1" t="s">
        <v>93</v>
      </c>
      <c r="H15" s="4" t="s">
        <v>104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T15" s="1" t="s">
        <v>103</v>
      </c>
    </row>
    <row r="16" spans="1:72" ht="15" thickBot="1" x14ac:dyDescent="0.4">
      <c r="B16" s="1" t="s">
        <v>101</v>
      </c>
      <c r="C16" s="1" t="s">
        <v>95</v>
      </c>
      <c r="J16" s="1">
        <f>J15-J14</f>
        <v>0</v>
      </c>
      <c r="K16" s="1">
        <f t="shared" ref="K16:AP16" si="4">K15-K14+J16</f>
        <v>0</v>
      </c>
      <c r="L16" s="1">
        <f t="shared" si="4"/>
        <v>0</v>
      </c>
      <c r="M16" s="1">
        <f t="shared" si="4"/>
        <v>0</v>
      </c>
      <c r="N16" s="1">
        <f t="shared" si="4"/>
        <v>0</v>
      </c>
      <c r="O16" s="1">
        <f t="shared" si="4"/>
        <v>0</v>
      </c>
      <c r="P16" s="1">
        <f t="shared" si="4"/>
        <v>0</v>
      </c>
      <c r="Q16" s="1">
        <f t="shared" si="4"/>
        <v>0</v>
      </c>
      <c r="R16" s="1">
        <f t="shared" si="4"/>
        <v>0</v>
      </c>
      <c r="S16" s="1">
        <f t="shared" si="4"/>
        <v>0</v>
      </c>
      <c r="T16" s="1">
        <f t="shared" si="4"/>
        <v>0</v>
      </c>
      <c r="U16" s="1">
        <f t="shared" si="4"/>
        <v>0</v>
      </c>
      <c r="V16" s="1">
        <f t="shared" si="4"/>
        <v>0</v>
      </c>
      <c r="W16" s="1">
        <f t="shared" si="4"/>
        <v>0</v>
      </c>
      <c r="X16" s="1">
        <f t="shared" si="4"/>
        <v>0</v>
      </c>
      <c r="Y16" s="1">
        <f t="shared" si="4"/>
        <v>0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-3477</v>
      </c>
      <c r="AG16" s="1">
        <f t="shared" si="4"/>
        <v>-3477</v>
      </c>
      <c r="AH16" s="1">
        <f t="shared" si="4"/>
        <v>-3477</v>
      </c>
      <c r="AI16" s="1">
        <f t="shared" si="4"/>
        <v>-3477</v>
      </c>
      <c r="AJ16" s="1">
        <f t="shared" si="4"/>
        <v>-7689</v>
      </c>
      <c r="AK16" s="1">
        <f t="shared" si="4"/>
        <v>-7689</v>
      </c>
      <c r="AL16" s="1">
        <f t="shared" si="4"/>
        <v>-7689</v>
      </c>
      <c r="AM16" s="1">
        <f t="shared" si="4"/>
        <v>-11883</v>
      </c>
      <c r="AN16" s="1">
        <f t="shared" si="4"/>
        <v>-11883</v>
      </c>
      <c r="AO16" s="1">
        <f t="shared" si="4"/>
        <v>-11883</v>
      </c>
      <c r="AP16" s="1">
        <f t="shared" si="4"/>
        <v>-11883</v>
      </c>
      <c r="AQ16" s="1">
        <f t="shared" ref="AQ16:BJ16" si="5">AQ15-AQ14+AP16</f>
        <v>-11883</v>
      </c>
      <c r="AR16" s="1">
        <f t="shared" si="5"/>
        <v>-11883</v>
      </c>
      <c r="AS16" s="1">
        <f t="shared" si="5"/>
        <v>-16077</v>
      </c>
      <c r="AT16" s="1">
        <f t="shared" si="5"/>
        <v>-16077</v>
      </c>
      <c r="AU16" s="1">
        <f t="shared" si="5"/>
        <v>-16077</v>
      </c>
      <c r="AV16" s="1">
        <f t="shared" si="5"/>
        <v>-16077</v>
      </c>
      <c r="AW16" s="1">
        <f t="shared" si="5"/>
        <v>-20289</v>
      </c>
      <c r="AX16" s="1">
        <f t="shared" si="5"/>
        <v>-20289</v>
      </c>
      <c r="AY16" s="1">
        <f t="shared" si="5"/>
        <v>-20289</v>
      </c>
      <c r="AZ16" s="1">
        <f t="shared" si="5"/>
        <v>-20289</v>
      </c>
      <c r="BA16" s="1">
        <f t="shared" si="5"/>
        <v>-20289</v>
      </c>
      <c r="BB16" s="1">
        <f t="shared" si="5"/>
        <v>-20289</v>
      </c>
      <c r="BC16" s="1">
        <f t="shared" si="5"/>
        <v>-20289</v>
      </c>
      <c r="BD16" s="1">
        <f t="shared" si="5"/>
        <v>-20289</v>
      </c>
      <c r="BE16" s="1">
        <f t="shared" si="5"/>
        <v>-20289</v>
      </c>
      <c r="BF16" s="1">
        <f t="shared" si="5"/>
        <v>-20289</v>
      </c>
      <c r="BG16" s="1">
        <f t="shared" si="5"/>
        <v>-20289</v>
      </c>
      <c r="BH16" s="1">
        <f t="shared" si="5"/>
        <v>-20289</v>
      </c>
      <c r="BI16" s="1">
        <f t="shared" si="5"/>
        <v>-20289</v>
      </c>
      <c r="BJ16" s="1">
        <f t="shared" si="5"/>
        <v>-20289</v>
      </c>
      <c r="BT16" s="1" t="s">
        <v>103</v>
      </c>
    </row>
    <row r="17" spans="1:72" ht="15" thickBot="1" x14ac:dyDescent="0.4">
      <c r="A17" s="1" t="s">
        <v>85</v>
      </c>
      <c r="B17" s="4" t="s">
        <v>105</v>
      </c>
      <c r="C17" s="4" t="s">
        <v>87</v>
      </c>
      <c r="D17" s="4" t="s">
        <v>88</v>
      </c>
      <c r="E17" s="4"/>
      <c r="F17" s="4"/>
      <c r="G17" s="4" t="s">
        <v>89</v>
      </c>
      <c r="H17" s="4" t="s">
        <v>106</v>
      </c>
      <c r="I17" s="4" t="s">
        <v>98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4265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1588</v>
      </c>
      <c r="AF17" s="4">
        <v>432</v>
      </c>
      <c r="AG17" s="4">
        <v>432</v>
      </c>
      <c r="AH17" s="4">
        <v>432</v>
      </c>
      <c r="AI17" s="4">
        <v>432</v>
      </c>
      <c r="AJ17" s="4">
        <v>450</v>
      </c>
      <c r="AK17" s="4">
        <v>455</v>
      </c>
      <c r="AL17" s="4">
        <v>455</v>
      </c>
      <c r="AM17" s="4">
        <v>4023</v>
      </c>
      <c r="AN17" s="4">
        <v>865</v>
      </c>
      <c r="AO17" s="4">
        <v>0</v>
      </c>
      <c r="AP17" s="4">
        <v>568</v>
      </c>
      <c r="AQ17" s="4">
        <v>568</v>
      </c>
      <c r="AR17" s="4">
        <v>454</v>
      </c>
      <c r="AS17" s="4">
        <v>0</v>
      </c>
      <c r="AT17" s="4">
        <v>0</v>
      </c>
      <c r="AU17" s="4">
        <v>0</v>
      </c>
      <c r="AV17" s="4">
        <v>0</v>
      </c>
      <c r="AW17" s="4">
        <v>414</v>
      </c>
      <c r="AX17" s="4">
        <v>516</v>
      </c>
      <c r="AY17" s="4">
        <v>516</v>
      </c>
      <c r="AZ17" s="4">
        <v>414</v>
      </c>
      <c r="BA17" s="4">
        <v>414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f>SUM(J17:BK17)</f>
        <v>17693</v>
      </c>
      <c r="BM17" s="4">
        <v>7200</v>
      </c>
      <c r="BN17" s="4">
        <v>0</v>
      </c>
      <c r="BO17" s="4">
        <v>1800</v>
      </c>
      <c r="BP17" s="4">
        <v>0</v>
      </c>
      <c r="BQ17" s="4">
        <v>0</v>
      </c>
      <c r="BR17" s="4"/>
      <c r="BT17" s="1" t="s">
        <v>107</v>
      </c>
    </row>
    <row r="18" spans="1:72" x14ac:dyDescent="0.35">
      <c r="B18" s="1" t="s">
        <v>105</v>
      </c>
      <c r="C18" s="1" t="s">
        <v>93</v>
      </c>
      <c r="H18" s="4" t="s">
        <v>108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T18" s="1" t="s">
        <v>107</v>
      </c>
    </row>
    <row r="19" spans="1:72" ht="15" thickBot="1" x14ac:dyDescent="0.4">
      <c r="B19" s="1" t="s">
        <v>105</v>
      </c>
      <c r="C19" s="1" t="s">
        <v>95</v>
      </c>
      <c r="J19" s="1">
        <f>J18-J17</f>
        <v>0</v>
      </c>
      <c r="K19" s="1">
        <f t="shared" ref="K19:AP19" si="6">K18-K17+J19</f>
        <v>0</v>
      </c>
      <c r="L19" s="1">
        <f t="shared" si="6"/>
        <v>0</v>
      </c>
      <c r="M19" s="1">
        <f t="shared" si="6"/>
        <v>0</v>
      </c>
      <c r="N19" s="1">
        <f t="shared" si="6"/>
        <v>0</v>
      </c>
      <c r="O19" s="1">
        <f t="shared" si="6"/>
        <v>0</v>
      </c>
      <c r="P19" s="1">
        <f t="shared" si="6"/>
        <v>0</v>
      </c>
      <c r="Q19" s="1">
        <f t="shared" si="6"/>
        <v>0</v>
      </c>
      <c r="R19" s="1">
        <f t="shared" si="6"/>
        <v>0</v>
      </c>
      <c r="S19" s="1">
        <f t="shared" si="6"/>
        <v>0</v>
      </c>
      <c r="T19" s="1">
        <f t="shared" si="6"/>
        <v>0</v>
      </c>
      <c r="U19" s="1">
        <f t="shared" si="6"/>
        <v>0</v>
      </c>
      <c r="V19" s="1">
        <f t="shared" si="6"/>
        <v>-4265</v>
      </c>
      <c r="W19" s="1">
        <f t="shared" si="6"/>
        <v>-4265</v>
      </c>
      <c r="X19" s="1">
        <f t="shared" si="6"/>
        <v>-4265</v>
      </c>
      <c r="Y19" s="1">
        <f t="shared" si="6"/>
        <v>-4265</v>
      </c>
      <c r="Z19" s="1">
        <f t="shared" si="6"/>
        <v>-4265</v>
      </c>
      <c r="AA19" s="1">
        <f t="shared" si="6"/>
        <v>-4265</v>
      </c>
      <c r="AB19" s="1">
        <f t="shared" si="6"/>
        <v>-4265</v>
      </c>
      <c r="AC19" s="1">
        <f t="shared" si="6"/>
        <v>-4265</v>
      </c>
      <c r="AD19" s="1">
        <f t="shared" si="6"/>
        <v>-4265</v>
      </c>
      <c r="AE19" s="1">
        <f t="shared" si="6"/>
        <v>-5853</v>
      </c>
      <c r="AF19" s="1">
        <f t="shared" si="6"/>
        <v>-6285</v>
      </c>
      <c r="AG19" s="1">
        <f t="shared" si="6"/>
        <v>-6717</v>
      </c>
      <c r="AH19" s="1">
        <f t="shared" si="6"/>
        <v>-7149</v>
      </c>
      <c r="AI19" s="1">
        <f t="shared" si="6"/>
        <v>-7581</v>
      </c>
      <c r="AJ19" s="1">
        <f t="shared" si="6"/>
        <v>-8031</v>
      </c>
      <c r="AK19" s="1">
        <f t="shared" si="6"/>
        <v>-8486</v>
      </c>
      <c r="AL19" s="1">
        <f t="shared" si="6"/>
        <v>-8941</v>
      </c>
      <c r="AM19" s="1">
        <f t="shared" si="6"/>
        <v>-12964</v>
      </c>
      <c r="AN19" s="1">
        <f t="shared" si="6"/>
        <v>-13829</v>
      </c>
      <c r="AO19" s="1">
        <f t="shared" si="6"/>
        <v>-13829</v>
      </c>
      <c r="AP19" s="1">
        <f t="shared" si="6"/>
        <v>-14397</v>
      </c>
      <c r="AQ19" s="1">
        <f t="shared" ref="AQ19:BJ19" si="7">AQ18-AQ17+AP19</f>
        <v>-14965</v>
      </c>
      <c r="AR19" s="1">
        <f t="shared" si="7"/>
        <v>-15419</v>
      </c>
      <c r="AS19" s="1">
        <f t="shared" si="7"/>
        <v>-15419</v>
      </c>
      <c r="AT19" s="1">
        <f t="shared" si="7"/>
        <v>-15419</v>
      </c>
      <c r="AU19" s="1">
        <f t="shared" si="7"/>
        <v>-15419</v>
      </c>
      <c r="AV19" s="1">
        <f t="shared" si="7"/>
        <v>-15419</v>
      </c>
      <c r="AW19" s="1">
        <f t="shared" si="7"/>
        <v>-15833</v>
      </c>
      <c r="AX19" s="1">
        <f t="shared" si="7"/>
        <v>-16349</v>
      </c>
      <c r="AY19" s="1">
        <f t="shared" si="7"/>
        <v>-16865</v>
      </c>
      <c r="AZ19" s="1">
        <f t="shared" si="7"/>
        <v>-17279</v>
      </c>
      <c r="BA19" s="1">
        <f t="shared" si="7"/>
        <v>-17693</v>
      </c>
      <c r="BB19" s="1">
        <f t="shared" si="7"/>
        <v>-17693</v>
      </c>
      <c r="BC19" s="1">
        <f t="shared" si="7"/>
        <v>-17693</v>
      </c>
      <c r="BD19" s="1">
        <f t="shared" si="7"/>
        <v>-17693</v>
      </c>
      <c r="BE19" s="1">
        <f t="shared" si="7"/>
        <v>-17693</v>
      </c>
      <c r="BF19" s="1">
        <f t="shared" si="7"/>
        <v>-17693</v>
      </c>
      <c r="BG19" s="1">
        <f t="shared" si="7"/>
        <v>-17693</v>
      </c>
      <c r="BH19" s="1">
        <f t="shared" si="7"/>
        <v>-17693</v>
      </c>
      <c r="BI19" s="1">
        <f t="shared" si="7"/>
        <v>-17693</v>
      </c>
      <c r="BJ19" s="1">
        <f t="shared" si="7"/>
        <v>-17693</v>
      </c>
      <c r="BT19" s="1" t="s">
        <v>107</v>
      </c>
    </row>
    <row r="20" spans="1:72" ht="15" thickBot="1" x14ac:dyDescent="0.4">
      <c r="A20" s="1" t="s">
        <v>85</v>
      </c>
      <c r="B20" s="4" t="s">
        <v>109</v>
      </c>
      <c r="C20" s="4" t="s">
        <v>87</v>
      </c>
      <c r="D20" s="4" t="s">
        <v>88</v>
      </c>
      <c r="E20" s="4"/>
      <c r="F20" s="4"/>
      <c r="G20" s="4" t="s">
        <v>89</v>
      </c>
      <c r="H20" s="4" t="s">
        <v>110</v>
      </c>
      <c r="I20" s="4" t="s">
        <v>111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18779</v>
      </c>
      <c r="S20" s="4">
        <v>0</v>
      </c>
      <c r="T20" s="4">
        <v>0</v>
      </c>
      <c r="U20" s="4">
        <v>0</v>
      </c>
      <c r="V20" s="4">
        <v>2800</v>
      </c>
      <c r="W20" s="4">
        <v>47850</v>
      </c>
      <c r="X20" s="4">
        <v>0</v>
      </c>
      <c r="Y20" s="4">
        <v>0</v>
      </c>
      <c r="Z20" s="4">
        <v>0</v>
      </c>
      <c r="AA20" s="4">
        <v>45470</v>
      </c>
      <c r="AB20" s="4">
        <v>0</v>
      </c>
      <c r="AC20" s="4">
        <v>0</v>
      </c>
      <c r="AD20" s="4">
        <v>0</v>
      </c>
      <c r="AE20" s="4">
        <v>36400</v>
      </c>
      <c r="AF20" s="4">
        <v>0</v>
      </c>
      <c r="AG20" s="4">
        <v>0</v>
      </c>
      <c r="AH20" s="4">
        <v>0</v>
      </c>
      <c r="AI20" s="4">
        <v>0</v>
      </c>
      <c r="AJ20" s="4">
        <v>57400</v>
      </c>
      <c r="AK20" s="4">
        <v>0</v>
      </c>
      <c r="AL20" s="4">
        <v>0</v>
      </c>
      <c r="AM20" s="4">
        <v>2800</v>
      </c>
      <c r="AN20" s="4">
        <v>26600</v>
      </c>
      <c r="AO20" s="4">
        <v>0</v>
      </c>
      <c r="AP20" s="4">
        <v>0</v>
      </c>
      <c r="AQ20" s="4">
        <v>0</v>
      </c>
      <c r="AR20" s="4">
        <v>29400</v>
      </c>
      <c r="AS20" s="4">
        <v>0</v>
      </c>
      <c r="AT20" s="4">
        <v>0</v>
      </c>
      <c r="AU20" s="4">
        <v>0</v>
      </c>
      <c r="AV20" s="4">
        <v>0</v>
      </c>
      <c r="AW20" s="4">
        <v>21000</v>
      </c>
      <c r="AX20" s="4">
        <v>0</v>
      </c>
      <c r="AY20" s="4">
        <v>0</v>
      </c>
      <c r="AZ20" s="4">
        <v>32118</v>
      </c>
      <c r="BA20" s="4">
        <v>31200</v>
      </c>
      <c r="BB20" s="4">
        <v>20000</v>
      </c>
      <c r="BC20" s="4">
        <v>20000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f>SUM(J20:BK20)</f>
        <v>391817</v>
      </c>
      <c r="BM20" s="4">
        <v>213000</v>
      </c>
      <c r="BN20" s="4">
        <v>0</v>
      </c>
      <c r="BO20" s="4">
        <v>3000</v>
      </c>
      <c r="BP20" s="4">
        <v>0</v>
      </c>
      <c r="BQ20" s="4">
        <v>0</v>
      </c>
      <c r="BR20" s="4"/>
      <c r="BT20" s="1" t="s">
        <v>112</v>
      </c>
    </row>
    <row r="21" spans="1:72" x14ac:dyDescent="0.35">
      <c r="B21" s="1" t="s">
        <v>109</v>
      </c>
      <c r="C21" s="1" t="s">
        <v>93</v>
      </c>
      <c r="H21" s="4" t="s">
        <v>113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T21" s="1" t="s">
        <v>112</v>
      </c>
    </row>
    <row r="22" spans="1:72" ht="15" thickBot="1" x14ac:dyDescent="0.4">
      <c r="B22" s="1" t="s">
        <v>109</v>
      </c>
      <c r="C22" s="1" t="s">
        <v>95</v>
      </c>
      <c r="J22" s="1">
        <f>J21-J20</f>
        <v>0</v>
      </c>
      <c r="K22" s="1">
        <f t="shared" ref="K22:AP22" si="8">K21-K20+J22</f>
        <v>0</v>
      </c>
      <c r="L22" s="1">
        <f t="shared" si="8"/>
        <v>0</v>
      </c>
      <c r="M22" s="1">
        <f t="shared" si="8"/>
        <v>0</v>
      </c>
      <c r="N22" s="1">
        <f t="shared" si="8"/>
        <v>0</v>
      </c>
      <c r="O22" s="1">
        <f t="shared" si="8"/>
        <v>0</v>
      </c>
      <c r="P22" s="1">
        <f t="shared" si="8"/>
        <v>0</v>
      </c>
      <c r="Q22" s="1">
        <f t="shared" si="8"/>
        <v>0</v>
      </c>
      <c r="R22" s="1">
        <f t="shared" si="8"/>
        <v>-18779</v>
      </c>
      <c r="S22" s="1">
        <f t="shared" si="8"/>
        <v>-18779</v>
      </c>
      <c r="T22" s="1">
        <f t="shared" si="8"/>
        <v>-18779</v>
      </c>
      <c r="U22" s="1">
        <f t="shared" si="8"/>
        <v>-18779</v>
      </c>
      <c r="V22" s="1">
        <f t="shared" si="8"/>
        <v>-21579</v>
      </c>
      <c r="W22" s="1">
        <f t="shared" si="8"/>
        <v>-69429</v>
      </c>
      <c r="X22" s="1">
        <f t="shared" si="8"/>
        <v>-69429</v>
      </c>
      <c r="Y22" s="1">
        <f t="shared" si="8"/>
        <v>-69429</v>
      </c>
      <c r="Z22" s="1">
        <f t="shared" si="8"/>
        <v>-69429</v>
      </c>
      <c r="AA22" s="1">
        <f t="shared" si="8"/>
        <v>-114899</v>
      </c>
      <c r="AB22" s="1">
        <f t="shared" si="8"/>
        <v>-114899</v>
      </c>
      <c r="AC22" s="1">
        <f t="shared" si="8"/>
        <v>-114899</v>
      </c>
      <c r="AD22" s="1">
        <f t="shared" si="8"/>
        <v>-114899</v>
      </c>
      <c r="AE22" s="1">
        <f t="shared" si="8"/>
        <v>-151299</v>
      </c>
      <c r="AF22" s="1">
        <f t="shared" si="8"/>
        <v>-151299</v>
      </c>
      <c r="AG22" s="1">
        <f t="shared" si="8"/>
        <v>-151299</v>
      </c>
      <c r="AH22" s="1">
        <f t="shared" si="8"/>
        <v>-151299</v>
      </c>
      <c r="AI22" s="1">
        <f t="shared" si="8"/>
        <v>-151299</v>
      </c>
      <c r="AJ22" s="1">
        <f t="shared" si="8"/>
        <v>-208699</v>
      </c>
      <c r="AK22" s="1">
        <f t="shared" si="8"/>
        <v>-208699</v>
      </c>
      <c r="AL22" s="1">
        <f t="shared" si="8"/>
        <v>-208699</v>
      </c>
      <c r="AM22" s="1">
        <f t="shared" si="8"/>
        <v>-211499</v>
      </c>
      <c r="AN22" s="1">
        <f t="shared" si="8"/>
        <v>-238099</v>
      </c>
      <c r="AO22" s="1">
        <f t="shared" si="8"/>
        <v>-238099</v>
      </c>
      <c r="AP22" s="1">
        <f t="shared" si="8"/>
        <v>-238099</v>
      </c>
      <c r="AQ22" s="1">
        <f t="shared" ref="AQ22:BJ22" si="9">AQ21-AQ20+AP22</f>
        <v>-238099</v>
      </c>
      <c r="AR22" s="1">
        <f t="shared" si="9"/>
        <v>-267499</v>
      </c>
      <c r="AS22" s="1">
        <f t="shared" si="9"/>
        <v>-267499</v>
      </c>
      <c r="AT22" s="1">
        <f t="shared" si="9"/>
        <v>-267499</v>
      </c>
      <c r="AU22" s="1">
        <f t="shared" si="9"/>
        <v>-267499</v>
      </c>
      <c r="AV22" s="1">
        <f t="shared" si="9"/>
        <v>-267499</v>
      </c>
      <c r="AW22" s="1">
        <f t="shared" si="9"/>
        <v>-288499</v>
      </c>
      <c r="AX22" s="1">
        <f t="shared" si="9"/>
        <v>-288499</v>
      </c>
      <c r="AY22" s="1">
        <f t="shared" si="9"/>
        <v>-288499</v>
      </c>
      <c r="AZ22" s="1">
        <f t="shared" si="9"/>
        <v>-320617</v>
      </c>
      <c r="BA22" s="1">
        <f t="shared" si="9"/>
        <v>-351817</v>
      </c>
      <c r="BB22" s="1">
        <f t="shared" si="9"/>
        <v>-371817</v>
      </c>
      <c r="BC22" s="1">
        <f t="shared" si="9"/>
        <v>-391817</v>
      </c>
      <c r="BD22" s="1">
        <f t="shared" si="9"/>
        <v>-391817</v>
      </c>
      <c r="BE22" s="1">
        <f t="shared" si="9"/>
        <v>-391817</v>
      </c>
      <c r="BF22" s="1">
        <f t="shared" si="9"/>
        <v>-391817</v>
      </c>
      <c r="BG22" s="1">
        <f t="shared" si="9"/>
        <v>-391817</v>
      </c>
      <c r="BH22" s="1">
        <f t="shared" si="9"/>
        <v>-391817</v>
      </c>
      <c r="BI22" s="1">
        <f t="shared" si="9"/>
        <v>-391817</v>
      </c>
      <c r="BJ22" s="1">
        <f t="shared" si="9"/>
        <v>-391817</v>
      </c>
      <c r="BT22" s="1" t="s">
        <v>112</v>
      </c>
    </row>
    <row r="23" spans="1:72" ht="15" thickBot="1" x14ac:dyDescent="0.4">
      <c r="A23" s="1" t="s">
        <v>85</v>
      </c>
      <c r="B23" s="4" t="s">
        <v>114</v>
      </c>
      <c r="C23" s="4" t="s">
        <v>87</v>
      </c>
      <c r="D23" s="4" t="s">
        <v>88</v>
      </c>
      <c r="E23" s="4"/>
      <c r="F23" s="4"/>
      <c r="G23" s="4" t="s">
        <v>89</v>
      </c>
      <c r="H23" s="4" t="s">
        <v>115</v>
      </c>
      <c r="I23" s="4" t="s">
        <v>116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769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1500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f>SUM(J23:BK23)</f>
        <v>2269</v>
      </c>
      <c r="BM23" s="4">
        <v>0</v>
      </c>
      <c r="BN23" s="4">
        <v>0</v>
      </c>
      <c r="BO23" s="4">
        <v>3000</v>
      </c>
      <c r="BP23" s="4">
        <v>0</v>
      </c>
      <c r="BQ23" s="4">
        <v>0</v>
      </c>
      <c r="BR23" s="4"/>
      <c r="BT23" s="1" t="s">
        <v>117</v>
      </c>
    </row>
    <row r="24" spans="1:72" x14ac:dyDescent="0.35">
      <c r="B24" s="1" t="s">
        <v>114</v>
      </c>
      <c r="C24" s="1" t="s">
        <v>93</v>
      </c>
      <c r="H24" s="4" t="s">
        <v>118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T24" s="1" t="s">
        <v>117</v>
      </c>
    </row>
    <row r="25" spans="1:72" ht="15" thickBot="1" x14ac:dyDescent="0.4">
      <c r="B25" s="1" t="s">
        <v>114</v>
      </c>
      <c r="C25" s="1" t="s">
        <v>95</v>
      </c>
      <c r="J25" s="1">
        <f>J24-J23</f>
        <v>0</v>
      </c>
      <c r="K25" s="1">
        <f t="shared" ref="K25:AP25" si="10">K24-K23+J25</f>
        <v>0</v>
      </c>
      <c r="L25" s="1">
        <f t="shared" si="10"/>
        <v>0</v>
      </c>
      <c r="M25" s="1">
        <f t="shared" si="10"/>
        <v>0</v>
      </c>
      <c r="N25" s="1">
        <f t="shared" si="10"/>
        <v>0</v>
      </c>
      <c r="O25" s="1">
        <f t="shared" si="10"/>
        <v>0</v>
      </c>
      <c r="P25" s="1">
        <f t="shared" si="10"/>
        <v>0</v>
      </c>
      <c r="Q25" s="1">
        <f t="shared" si="10"/>
        <v>0</v>
      </c>
      <c r="R25" s="1">
        <f t="shared" si="10"/>
        <v>0</v>
      </c>
      <c r="S25" s="1">
        <f t="shared" si="10"/>
        <v>0</v>
      </c>
      <c r="T25" s="1">
        <f t="shared" si="10"/>
        <v>0</v>
      </c>
      <c r="U25" s="1">
        <f t="shared" si="10"/>
        <v>0</v>
      </c>
      <c r="V25" s="1">
        <f t="shared" si="10"/>
        <v>0</v>
      </c>
      <c r="W25" s="1">
        <f t="shared" si="10"/>
        <v>0</v>
      </c>
      <c r="X25" s="1">
        <f t="shared" si="10"/>
        <v>0</v>
      </c>
      <c r="Y25" s="1">
        <f t="shared" si="10"/>
        <v>0</v>
      </c>
      <c r="Z25" s="1">
        <f t="shared" si="10"/>
        <v>0</v>
      </c>
      <c r="AA25" s="1">
        <f t="shared" si="10"/>
        <v>0</v>
      </c>
      <c r="AB25" s="1">
        <f t="shared" si="10"/>
        <v>0</v>
      </c>
      <c r="AC25" s="1">
        <f t="shared" si="10"/>
        <v>0</v>
      </c>
      <c r="AD25" s="1">
        <f t="shared" si="10"/>
        <v>0</v>
      </c>
      <c r="AE25" s="1">
        <f t="shared" si="10"/>
        <v>-769</v>
      </c>
      <c r="AF25" s="1">
        <f t="shared" si="10"/>
        <v>-769</v>
      </c>
      <c r="AG25" s="1">
        <f t="shared" si="10"/>
        <v>-769</v>
      </c>
      <c r="AH25" s="1">
        <f t="shared" si="10"/>
        <v>-769</v>
      </c>
      <c r="AI25" s="1">
        <f t="shared" si="10"/>
        <v>-769</v>
      </c>
      <c r="AJ25" s="1">
        <f t="shared" si="10"/>
        <v>-769</v>
      </c>
      <c r="AK25" s="1">
        <f t="shared" si="10"/>
        <v>-769</v>
      </c>
      <c r="AL25" s="1">
        <f t="shared" si="10"/>
        <v>-769</v>
      </c>
      <c r="AM25" s="1">
        <f t="shared" si="10"/>
        <v>-769</v>
      </c>
      <c r="AN25" s="1">
        <f t="shared" si="10"/>
        <v>-2269</v>
      </c>
      <c r="AO25" s="1">
        <f t="shared" si="10"/>
        <v>-2269</v>
      </c>
      <c r="AP25" s="1">
        <f t="shared" si="10"/>
        <v>-2269</v>
      </c>
      <c r="AQ25" s="1">
        <f t="shared" ref="AQ25:BJ25" si="11">AQ24-AQ23+AP25</f>
        <v>-2269</v>
      </c>
      <c r="AR25" s="1">
        <f t="shared" si="11"/>
        <v>-2269</v>
      </c>
      <c r="AS25" s="1">
        <f t="shared" si="11"/>
        <v>-2269</v>
      </c>
      <c r="AT25" s="1">
        <f t="shared" si="11"/>
        <v>-2269</v>
      </c>
      <c r="AU25" s="1">
        <f t="shared" si="11"/>
        <v>-2269</v>
      </c>
      <c r="AV25" s="1">
        <f t="shared" si="11"/>
        <v>-2269</v>
      </c>
      <c r="AW25" s="1">
        <f t="shared" si="11"/>
        <v>-2269</v>
      </c>
      <c r="AX25" s="1">
        <f t="shared" si="11"/>
        <v>-2269</v>
      </c>
      <c r="AY25" s="1">
        <f t="shared" si="11"/>
        <v>-2269</v>
      </c>
      <c r="AZ25" s="1">
        <f t="shared" si="11"/>
        <v>-2269</v>
      </c>
      <c r="BA25" s="1">
        <f t="shared" si="11"/>
        <v>-2269</v>
      </c>
      <c r="BB25" s="1">
        <f t="shared" si="11"/>
        <v>-2269</v>
      </c>
      <c r="BC25" s="1">
        <f t="shared" si="11"/>
        <v>-2269</v>
      </c>
      <c r="BD25" s="1">
        <f t="shared" si="11"/>
        <v>-2269</v>
      </c>
      <c r="BE25" s="1">
        <f t="shared" si="11"/>
        <v>-2269</v>
      </c>
      <c r="BF25" s="1">
        <f t="shared" si="11"/>
        <v>-2269</v>
      </c>
      <c r="BG25" s="1">
        <f t="shared" si="11"/>
        <v>-2269</v>
      </c>
      <c r="BH25" s="1">
        <f t="shared" si="11"/>
        <v>-2269</v>
      </c>
      <c r="BI25" s="1">
        <f t="shared" si="11"/>
        <v>-2269</v>
      </c>
      <c r="BJ25" s="1">
        <f t="shared" si="11"/>
        <v>-2269</v>
      </c>
      <c r="BT25" s="1" t="s">
        <v>117</v>
      </c>
    </row>
    <row r="26" spans="1:72" ht="15" thickBot="1" x14ac:dyDescent="0.4">
      <c r="A26" s="1" t="s">
        <v>85</v>
      </c>
      <c r="B26" s="4" t="s">
        <v>119</v>
      </c>
      <c r="C26" s="4" t="s">
        <v>87</v>
      </c>
      <c r="D26" s="4" t="s">
        <v>88</v>
      </c>
      <c r="E26" s="4"/>
      <c r="F26" s="4"/>
      <c r="G26" s="4" t="s">
        <v>89</v>
      </c>
      <c r="H26" s="4" t="s">
        <v>120</v>
      </c>
      <c r="I26" s="4" t="s">
        <v>121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3079</v>
      </c>
      <c r="V26" s="4">
        <v>2880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5559</v>
      </c>
      <c r="AZ26" s="4">
        <v>10000</v>
      </c>
      <c r="BA26" s="4">
        <v>10000</v>
      </c>
      <c r="BB26" s="4">
        <v>10000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f>SUM(J26:BK26)</f>
        <v>41518</v>
      </c>
      <c r="BM26" s="4">
        <v>36000</v>
      </c>
      <c r="BN26" s="4">
        <v>0</v>
      </c>
      <c r="BO26" s="4">
        <v>3000</v>
      </c>
      <c r="BP26" s="4">
        <v>0</v>
      </c>
      <c r="BQ26" s="4">
        <v>0</v>
      </c>
      <c r="BR26" s="4"/>
      <c r="BT26" s="1" t="s">
        <v>122</v>
      </c>
    </row>
    <row r="27" spans="1:72" x14ac:dyDescent="0.35">
      <c r="B27" s="1" t="s">
        <v>119</v>
      </c>
      <c r="C27" s="1" t="s">
        <v>93</v>
      </c>
      <c r="H27" s="4" t="s">
        <v>123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T27" s="1" t="s">
        <v>122</v>
      </c>
    </row>
    <row r="28" spans="1:72" ht="15" thickBot="1" x14ac:dyDescent="0.4">
      <c r="B28" s="1" t="s">
        <v>119</v>
      </c>
      <c r="C28" s="1" t="s">
        <v>95</v>
      </c>
      <c r="J28" s="1">
        <f>J27-J26</f>
        <v>0</v>
      </c>
      <c r="K28" s="1">
        <f t="shared" ref="K28:AP28" si="12">K27-K26+J28</f>
        <v>0</v>
      </c>
      <c r="L28" s="1">
        <f t="shared" si="12"/>
        <v>0</v>
      </c>
      <c r="M28" s="1">
        <f t="shared" si="12"/>
        <v>0</v>
      </c>
      <c r="N28" s="1">
        <f t="shared" si="12"/>
        <v>0</v>
      </c>
      <c r="O28" s="1">
        <f t="shared" si="12"/>
        <v>0</v>
      </c>
      <c r="P28" s="1">
        <f t="shared" si="12"/>
        <v>0</v>
      </c>
      <c r="Q28" s="1">
        <f t="shared" si="12"/>
        <v>0</v>
      </c>
      <c r="R28" s="1">
        <f t="shared" si="12"/>
        <v>0</v>
      </c>
      <c r="S28" s="1">
        <f t="shared" si="12"/>
        <v>0</v>
      </c>
      <c r="T28" s="1">
        <f t="shared" si="12"/>
        <v>0</v>
      </c>
      <c r="U28" s="1">
        <f t="shared" si="12"/>
        <v>-3079</v>
      </c>
      <c r="V28" s="1">
        <f t="shared" si="12"/>
        <v>-5959</v>
      </c>
      <c r="W28" s="1">
        <f t="shared" si="12"/>
        <v>-5959</v>
      </c>
      <c r="X28" s="1">
        <f t="shared" si="12"/>
        <v>-5959</v>
      </c>
      <c r="Y28" s="1">
        <f t="shared" si="12"/>
        <v>-5959</v>
      </c>
      <c r="Z28" s="1">
        <f t="shared" si="12"/>
        <v>-5959</v>
      </c>
      <c r="AA28" s="1">
        <f t="shared" si="12"/>
        <v>-5959</v>
      </c>
      <c r="AB28" s="1">
        <f t="shared" si="12"/>
        <v>-5959</v>
      </c>
      <c r="AC28" s="1">
        <f t="shared" si="12"/>
        <v>-5959</v>
      </c>
      <c r="AD28" s="1">
        <f t="shared" si="12"/>
        <v>-5959</v>
      </c>
      <c r="AE28" s="1">
        <f t="shared" si="12"/>
        <v>-5959</v>
      </c>
      <c r="AF28" s="1">
        <f t="shared" si="12"/>
        <v>-5959</v>
      </c>
      <c r="AG28" s="1">
        <f t="shared" si="12"/>
        <v>-5959</v>
      </c>
      <c r="AH28" s="1">
        <f t="shared" si="12"/>
        <v>-5959</v>
      </c>
      <c r="AI28" s="1">
        <f t="shared" si="12"/>
        <v>-5959</v>
      </c>
      <c r="AJ28" s="1">
        <f t="shared" si="12"/>
        <v>-5959</v>
      </c>
      <c r="AK28" s="1">
        <f t="shared" si="12"/>
        <v>-5959</v>
      </c>
      <c r="AL28" s="1">
        <f t="shared" si="12"/>
        <v>-5959</v>
      </c>
      <c r="AM28" s="1">
        <f t="shared" si="12"/>
        <v>-5959</v>
      </c>
      <c r="AN28" s="1">
        <f t="shared" si="12"/>
        <v>-5959</v>
      </c>
      <c r="AO28" s="1">
        <f t="shared" si="12"/>
        <v>-5959</v>
      </c>
      <c r="AP28" s="1">
        <f t="shared" si="12"/>
        <v>-5959</v>
      </c>
      <c r="AQ28" s="1">
        <f t="shared" ref="AQ28:BJ28" si="13">AQ27-AQ26+AP28</f>
        <v>-5959</v>
      </c>
      <c r="AR28" s="1">
        <f t="shared" si="13"/>
        <v>-5959</v>
      </c>
      <c r="AS28" s="1">
        <f t="shared" si="13"/>
        <v>-5959</v>
      </c>
      <c r="AT28" s="1">
        <f t="shared" si="13"/>
        <v>-5959</v>
      </c>
      <c r="AU28" s="1">
        <f t="shared" si="13"/>
        <v>-5959</v>
      </c>
      <c r="AV28" s="1">
        <f t="shared" si="13"/>
        <v>-5959</v>
      </c>
      <c r="AW28" s="1">
        <f t="shared" si="13"/>
        <v>-5959</v>
      </c>
      <c r="AX28" s="1">
        <f t="shared" si="13"/>
        <v>-5959</v>
      </c>
      <c r="AY28" s="1">
        <f t="shared" si="13"/>
        <v>-11518</v>
      </c>
      <c r="AZ28" s="1">
        <f t="shared" si="13"/>
        <v>-21518</v>
      </c>
      <c r="BA28" s="1">
        <f t="shared" si="13"/>
        <v>-31518</v>
      </c>
      <c r="BB28" s="1">
        <f t="shared" si="13"/>
        <v>-41518</v>
      </c>
      <c r="BC28" s="1">
        <f t="shared" si="13"/>
        <v>-41518</v>
      </c>
      <c r="BD28" s="1">
        <f t="shared" si="13"/>
        <v>-41518</v>
      </c>
      <c r="BE28" s="1">
        <f t="shared" si="13"/>
        <v>-41518</v>
      </c>
      <c r="BF28" s="1">
        <f t="shared" si="13"/>
        <v>-41518</v>
      </c>
      <c r="BG28" s="1">
        <f t="shared" si="13"/>
        <v>-41518</v>
      </c>
      <c r="BH28" s="1">
        <f t="shared" si="13"/>
        <v>-41518</v>
      </c>
      <c r="BI28" s="1">
        <f t="shared" si="13"/>
        <v>-41518</v>
      </c>
      <c r="BJ28" s="1">
        <f t="shared" si="13"/>
        <v>-41518</v>
      </c>
      <c r="BT28" s="1" t="s">
        <v>122</v>
      </c>
    </row>
    <row r="29" spans="1:72" ht="15" thickBot="1" x14ac:dyDescent="0.4">
      <c r="A29" s="1" t="s">
        <v>85</v>
      </c>
      <c r="B29" s="4" t="s">
        <v>124</v>
      </c>
      <c r="C29" s="4" t="s">
        <v>87</v>
      </c>
      <c r="D29" s="4" t="s">
        <v>88</v>
      </c>
      <c r="E29" s="4"/>
      <c r="F29" s="4"/>
      <c r="G29" s="4" t="s">
        <v>89</v>
      </c>
      <c r="H29" s="4" t="s">
        <v>125</v>
      </c>
      <c r="I29" s="4" t="s">
        <v>126</v>
      </c>
      <c r="J29" s="4">
        <v>0</v>
      </c>
      <c r="K29" s="4">
        <v>0</v>
      </c>
      <c r="L29" s="4">
        <v>10</v>
      </c>
      <c r="M29" s="4">
        <v>0</v>
      </c>
      <c r="N29" s="4">
        <v>0</v>
      </c>
      <c r="O29" s="4">
        <v>187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297</v>
      </c>
      <c r="AG29" s="4">
        <v>0</v>
      </c>
      <c r="AH29" s="4">
        <v>0</v>
      </c>
      <c r="AI29" s="4">
        <v>0</v>
      </c>
      <c r="AJ29" s="4">
        <v>500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400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f>SUM(J29:BK29)</f>
        <v>1394</v>
      </c>
      <c r="BM29" s="4">
        <v>0</v>
      </c>
      <c r="BN29" s="4">
        <v>0</v>
      </c>
      <c r="BO29" s="4">
        <v>3000</v>
      </c>
      <c r="BP29" s="4">
        <v>0</v>
      </c>
      <c r="BQ29" s="4">
        <v>0</v>
      </c>
      <c r="BR29" s="4"/>
      <c r="BT29" s="1" t="s">
        <v>127</v>
      </c>
    </row>
    <row r="30" spans="1:72" x14ac:dyDescent="0.35">
      <c r="B30" s="1" t="s">
        <v>124</v>
      </c>
      <c r="C30" s="1" t="s">
        <v>93</v>
      </c>
      <c r="H30" s="4" t="s">
        <v>128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T30" s="1" t="s">
        <v>127</v>
      </c>
    </row>
    <row r="31" spans="1:72" ht="15" thickBot="1" x14ac:dyDescent="0.4">
      <c r="B31" s="1" t="s">
        <v>124</v>
      </c>
      <c r="C31" s="1" t="s">
        <v>95</v>
      </c>
      <c r="J31" s="1">
        <f>J30-J29</f>
        <v>0</v>
      </c>
      <c r="K31" s="1">
        <f t="shared" ref="K31:AP31" si="14">K30-K29+J31</f>
        <v>0</v>
      </c>
      <c r="L31" s="1">
        <f t="shared" si="14"/>
        <v>-10</v>
      </c>
      <c r="M31" s="1">
        <f t="shared" si="14"/>
        <v>-10</v>
      </c>
      <c r="N31" s="1">
        <f t="shared" si="14"/>
        <v>-10</v>
      </c>
      <c r="O31" s="1">
        <f t="shared" si="14"/>
        <v>-197</v>
      </c>
      <c r="P31" s="1">
        <f t="shared" si="14"/>
        <v>-197</v>
      </c>
      <c r="Q31" s="1">
        <f t="shared" si="14"/>
        <v>-197</v>
      </c>
      <c r="R31" s="1">
        <f t="shared" si="14"/>
        <v>-197</v>
      </c>
      <c r="S31" s="1">
        <f t="shared" si="14"/>
        <v>-197</v>
      </c>
      <c r="T31" s="1">
        <f t="shared" si="14"/>
        <v>-197</v>
      </c>
      <c r="U31" s="1">
        <f t="shared" si="14"/>
        <v>-197</v>
      </c>
      <c r="V31" s="1">
        <f t="shared" si="14"/>
        <v>-197</v>
      </c>
      <c r="W31" s="1">
        <f t="shared" si="14"/>
        <v>-197</v>
      </c>
      <c r="X31" s="1">
        <f t="shared" si="14"/>
        <v>-197</v>
      </c>
      <c r="Y31" s="1">
        <f t="shared" si="14"/>
        <v>-197</v>
      </c>
      <c r="Z31" s="1">
        <f t="shared" si="14"/>
        <v>-197</v>
      </c>
      <c r="AA31" s="1">
        <f t="shared" si="14"/>
        <v>-197</v>
      </c>
      <c r="AB31" s="1">
        <f t="shared" si="14"/>
        <v>-197</v>
      </c>
      <c r="AC31" s="1">
        <f t="shared" si="14"/>
        <v>-197</v>
      </c>
      <c r="AD31" s="1">
        <f t="shared" si="14"/>
        <v>-197</v>
      </c>
      <c r="AE31" s="1">
        <f t="shared" si="14"/>
        <v>-197</v>
      </c>
      <c r="AF31" s="1">
        <f t="shared" si="14"/>
        <v>-494</v>
      </c>
      <c r="AG31" s="1">
        <f t="shared" si="14"/>
        <v>-494</v>
      </c>
      <c r="AH31" s="1">
        <f t="shared" si="14"/>
        <v>-494</v>
      </c>
      <c r="AI31" s="1">
        <f t="shared" si="14"/>
        <v>-494</v>
      </c>
      <c r="AJ31" s="1">
        <f t="shared" si="14"/>
        <v>-994</v>
      </c>
      <c r="AK31" s="1">
        <f t="shared" si="14"/>
        <v>-994</v>
      </c>
      <c r="AL31" s="1">
        <f t="shared" si="14"/>
        <v>-994</v>
      </c>
      <c r="AM31" s="1">
        <f t="shared" si="14"/>
        <v>-994</v>
      </c>
      <c r="AN31" s="1">
        <f t="shared" si="14"/>
        <v>-994</v>
      </c>
      <c r="AO31" s="1">
        <f t="shared" si="14"/>
        <v>-994</v>
      </c>
      <c r="AP31" s="1">
        <f t="shared" si="14"/>
        <v>-994</v>
      </c>
      <c r="AQ31" s="1">
        <f t="shared" ref="AQ31:BJ31" si="15">AQ30-AQ29+AP31</f>
        <v>-994</v>
      </c>
      <c r="AR31" s="1">
        <f t="shared" si="15"/>
        <v>-994</v>
      </c>
      <c r="AS31" s="1">
        <f t="shared" si="15"/>
        <v>-994</v>
      </c>
      <c r="AT31" s="1">
        <f t="shared" si="15"/>
        <v>-994</v>
      </c>
      <c r="AU31" s="1">
        <f t="shared" si="15"/>
        <v>-994</v>
      </c>
      <c r="AV31" s="1">
        <f t="shared" si="15"/>
        <v>-994</v>
      </c>
      <c r="AW31" s="1">
        <f t="shared" si="15"/>
        <v>-1394</v>
      </c>
      <c r="AX31" s="1">
        <f t="shared" si="15"/>
        <v>-1394</v>
      </c>
      <c r="AY31" s="1">
        <f t="shared" si="15"/>
        <v>-1394</v>
      </c>
      <c r="AZ31" s="1">
        <f t="shared" si="15"/>
        <v>-1394</v>
      </c>
      <c r="BA31" s="1">
        <f t="shared" si="15"/>
        <v>-1394</v>
      </c>
      <c r="BB31" s="1">
        <f t="shared" si="15"/>
        <v>-1394</v>
      </c>
      <c r="BC31" s="1">
        <f t="shared" si="15"/>
        <v>-1394</v>
      </c>
      <c r="BD31" s="1">
        <f t="shared" si="15"/>
        <v>-1394</v>
      </c>
      <c r="BE31" s="1">
        <f t="shared" si="15"/>
        <v>-1394</v>
      </c>
      <c r="BF31" s="1">
        <f t="shared" si="15"/>
        <v>-1394</v>
      </c>
      <c r="BG31" s="1">
        <f t="shared" si="15"/>
        <v>-1394</v>
      </c>
      <c r="BH31" s="1">
        <f t="shared" si="15"/>
        <v>-1394</v>
      </c>
      <c r="BI31" s="1">
        <f t="shared" si="15"/>
        <v>-1394</v>
      </c>
      <c r="BJ31" s="1">
        <f t="shared" si="15"/>
        <v>-1394</v>
      </c>
      <c r="BT31" s="1" t="s">
        <v>127</v>
      </c>
    </row>
    <row r="32" spans="1:72" ht="15" thickBot="1" x14ac:dyDescent="0.4">
      <c r="A32" s="1" t="s">
        <v>85</v>
      </c>
      <c r="B32" s="4" t="s">
        <v>129</v>
      </c>
      <c r="C32" s="4" t="s">
        <v>87</v>
      </c>
      <c r="D32" s="4" t="s">
        <v>88</v>
      </c>
      <c r="E32" s="4"/>
      <c r="F32" s="4"/>
      <c r="G32" s="4" t="s">
        <v>89</v>
      </c>
      <c r="H32" s="4" t="s">
        <v>130</v>
      </c>
      <c r="I32" s="4" t="s">
        <v>131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4570</v>
      </c>
      <c r="AB32" s="4">
        <v>105</v>
      </c>
      <c r="AC32" s="4">
        <v>105</v>
      </c>
      <c r="AD32" s="4">
        <v>105</v>
      </c>
      <c r="AE32" s="4">
        <v>8085</v>
      </c>
      <c r="AF32" s="4">
        <v>458</v>
      </c>
      <c r="AG32" s="4">
        <v>458</v>
      </c>
      <c r="AH32" s="4">
        <v>458</v>
      </c>
      <c r="AI32" s="4">
        <v>458</v>
      </c>
      <c r="AJ32" s="4">
        <v>8648</v>
      </c>
      <c r="AK32" s="4">
        <v>720</v>
      </c>
      <c r="AL32" s="4">
        <v>720</v>
      </c>
      <c r="AM32" s="4">
        <v>8556</v>
      </c>
      <c r="AN32" s="4">
        <v>576</v>
      </c>
      <c r="AO32" s="4">
        <v>576</v>
      </c>
      <c r="AP32" s="4">
        <v>720</v>
      </c>
      <c r="AQ32" s="4">
        <v>720</v>
      </c>
      <c r="AR32" s="4">
        <v>8556</v>
      </c>
      <c r="AS32" s="4">
        <v>687</v>
      </c>
      <c r="AT32" s="4">
        <v>687</v>
      </c>
      <c r="AU32" s="4">
        <v>687</v>
      </c>
      <c r="AV32" s="4">
        <v>687</v>
      </c>
      <c r="AW32" s="4">
        <v>662</v>
      </c>
      <c r="AX32" s="4">
        <v>656</v>
      </c>
      <c r="AY32" s="4">
        <v>656</v>
      </c>
      <c r="AZ32" s="4">
        <v>524</v>
      </c>
      <c r="BA32" s="4">
        <v>524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f>SUM(J32:BK32)</f>
        <v>50364</v>
      </c>
      <c r="BM32" s="4">
        <v>30000</v>
      </c>
      <c r="BN32" s="4">
        <v>0</v>
      </c>
      <c r="BO32" s="4">
        <v>3000</v>
      </c>
      <c r="BP32" s="4">
        <v>0</v>
      </c>
      <c r="BQ32" s="4">
        <v>0</v>
      </c>
      <c r="BR32" s="4"/>
      <c r="BT32" s="1" t="s">
        <v>132</v>
      </c>
    </row>
    <row r="33" spans="1:72" x14ac:dyDescent="0.35">
      <c r="B33" s="1" t="s">
        <v>129</v>
      </c>
      <c r="C33" s="1" t="s">
        <v>93</v>
      </c>
      <c r="H33" s="4" t="s">
        <v>133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T33" s="1" t="s">
        <v>132</v>
      </c>
    </row>
    <row r="34" spans="1:72" ht="15" thickBot="1" x14ac:dyDescent="0.4">
      <c r="B34" s="1" t="s">
        <v>129</v>
      </c>
      <c r="C34" s="1" t="s">
        <v>95</v>
      </c>
      <c r="J34" s="1">
        <f>J33-J32</f>
        <v>0</v>
      </c>
      <c r="K34" s="1">
        <f t="shared" ref="K34:AP34" si="16">K33-K32+J34</f>
        <v>0</v>
      </c>
      <c r="L34" s="1">
        <f t="shared" si="16"/>
        <v>0</v>
      </c>
      <c r="M34" s="1">
        <f t="shared" si="16"/>
        <v>0</v>
      </c>
      <c r="N34" s="1">
        <f t="shared" si="16"/>
        <v>0</v>
      </c>
      <c r="O34" s="1">
        <f t="shared" si="16"/>
        <v>0</v>
      </c>
      <c r="P34" s="1">
        <f t="shared" si="16"/>
        <v>0</v>
      </c>
      <c r="Q34" s="1">
        <f t="shared" si="16"/>
        <v>0</v>
      </c>
      <c r="R34" s="1">
        <f t="shared" si="16"/>
        <v>0</v>
      </c>
      <c r="S34" s="1">
        <f t="shared" si="16"/>
        <v>0</v>
      </c>
      <c r="T34" s="1">
        <f t="shared" si="16"/>
        <v>0</v>
      </c>
      <c r="U34" s="1">
        <f t="shared" si="16"/>
        <v>0</v>
      </c>
      <c r="V34" s="1">
        <f t="shared" si="16"/>
        <v>0</v>
      </c>
      <c r="W34" s="1">
        <f t="shared" si="16"/>
        <v>0</v>
      </c>
      <c r="X34" s="1">
        <f t="shared" si="16"/>
        <v>0</v>
      </c>
      <c r="Y34" s="1">
        <f t="shared" si="16"/>
        <v>0</v>
      </c>
      <c r="Z34" s="1">
        <f t="shared" si="16"/>
        <v>0</v>
      </c>
      <c r="AA34" s="1">
        <f t="shared" si="16"/>
        <v>-4570</v>
      </c>
      <c r="AB34" s="1">
        <f t="shared" si="16"/>
        <v>-4675</v>
      </c>
      <c r="AC34" s="1">
        <f t="shared" si="16"/>
        <v>-4780</v>
      </c>
      <c r="AD34" s="1">
        <f t="shared" si="16"/>
        <v>-4885</v>
      </c>
      <c r="AE34" s="1">
        <f t="shared" si="16"/>
        <v>-12970</v>
      </c>
      <c r="AF34" s="1">
        <f t="shared" si="16"/>
        <v>-13428</v>
      </c>
      <c r="AG34" s="1">
        <f t="shared" si="16"/>
        <v>-13886</v>
      </c>
      <c r="AH34" s="1">
        <f t="shared" si="16"/>
        <v>-14344</v>
      </c>
      <c r="AI34" s="1">
        <f t="shared" si="16"/>
        <v>-14802</v>
      </c>
      <c r="AJ34" s="1">
        <f t="shared" si="16"/>
        <v>-23450</v>
      </c>
      <c r="AK34" s="1">
        <f t="shared" si="16"/>
        <v>-24170</v>
      </c>
      <c r="AL34" s="1">
        <f t="shared" si="16"/>
        <v>-24890</v>
      </c>
      <c r="AM34" s="1">
        <f t="shared" si="16"/>
        <v>-33446</v>
      </c>
      <c r="AN34" s="1">
        <f t="shared" si="16"/>
        <v>-34022</v>
      </c>
      <c r="AO34" s="1">
        <f t="shared" si="16"/>
        <v>-34598</v>
      </c>
      <c r="AP34" s="1">
        <f t="shared" si="16"/>
        <v>-35318</v>
      </c>
      <c r="AQ34" s="1">
        <f t="shared" ref="AQ34:BJ34" si="17">AQ33-AQ32+AP34</f>
        <v>-36038</v>
      </c>
      <c r="AR34" s="1">
        <f t="shared" si="17"/>
        <v>-44594</v>
      </c>
      <c r="AS34" s="1">
        <f t="shared" si="17"/>
        <v>-45281</v>
      </c>
      <c r="AT34" s="1">
        <f t="shared" si="17"/>
        <v>-45968</v>
      </c>
      <c r="AU34" s="1">
        <f t="shared" si="17"/>
        <v>-46655</v>
      </c>
      <c r="AV34" s="1">
        <f t="shared" si="17"/>
        <v>-47342</v>
      </c>
      <c r="AW34" s="1">
        <f t="shared" si="17"/>
        <v>-48004</v>
      </c>
      <c r="AX34" s="1">
        <f t="shared" si="17"/>
        <v>-48660</v>
      </c>
      <c r="AY34" s="1">
        <f t="shared" si="17"/>
        <v>-49316</v>
      </c>
      <c r="AZ34" s="1">
        <f t="shared" si="17"/>
        <v>-49840</v>
      </c>
      <c r="BA34" s="1">
        <f t="shared" si="17"/>
        <v>-50364</v>
      </c>
      <c r="BB34" s="1">
        <f t="shared" si="17"/>
        <v>-50364</v>
      </c>
      <c r="BC34" s="1">
        <f t="shared" si="17"/>
        <v>-50364</v>
      </c>
      <c r="BD34" s="1">
        <f t="shared" si="17"/>
        <v>-50364</v>
      </c>
      <c r="BE34" s="1">
        <f t="shared" si="17"/>
        <v>-50364</v>
      </c>
      <c r="BF34" s="1">
        <f t="shared" si="17"/>
        <v>-50364</v>
      </c>
      <c r="BG34" s="1">
        <f t="shared" si="17"/>
        <v>-50364</v>
      </c>
      <c r="BH34" s="1">
        <f t="shared" si="17"/>
        <v>-50364</v>
      </c>
      <c r="BI34" s="1">
        <f t="shared" si="17"/>
        <v>-50364</v>
      </c>
      <c r="BJ34" s="1">
        <f t="shared" si="17"/>
        <v>-50364</v>
      </c>
      <c r="BT34" s="1" t="s">
        <v>132</v>
      </c>
    </row>
    <row r="35" spans="1:72" ht="15" thickBot="1" x14ac:dyDescent="0.4">
      <c r="A35" s="1" t="s">
        <v>85</v>
      </c>
      <c r="B35" s="4" t="s">
        <v>134</v>
      </c>
      <c r="C35" s="4" t="s">
        <v>87</v>
      </c>
      <c r="D35" s="4" t="s">
        <v>88</v>
      </c>
      <c r="E35" s="4"/>
      <c r="F35" s="4"/>
      <c r="G35" s="4" t="s">
        <v>89</v>
      </c>
      <c r="H35" s="4" t="s">
        <v>135</v>
      </c>
      <c r="I35" s="4" t="s">
        <v>126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7047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3892</v>
      </c>
      <c r="BA35" s="4">
        <v>7000</v>
      </c>
      <c r="BB35" s="4">
        <v>7000</v>
      </c>
      <c r="BC35" s="4">
        <v>7000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f>SUM(J35:BK35)</f>
        <v>31939</v>
      </c>
      <c r="BM35" s="4">
        <v>21000</v>
      </c>
      <c r="BN35" s="4">
        <v>0</v>
      </c>
      <c r="BO35" s="4">
        <v>3000</v>
      </c>
      <c r="BP35" s="4">
        <v>0</v>
      </c>
      <c r="BQ35" s="4">
        <v>0</v>
      </c>
      <c r="BR35" s="4"/>
      <c r="BT35" s="1" t="s">
        <v>136</v>
      </c>
    </row>
    <row r="36" spans="1:72" x14ac:dyDescent="0.35">
      <c r="B36" s="1" t="s">
        <v>134</v>
      </c>
      <c r="C36" s="1" t="s">
        <v>93</v>
      </c>
      <c r="H36" s="4" t="s">
        <v>137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T36" s="1" t="s">
        <v>136</v>
      </c>
    </row>
    <row r="37" spans="1:72" ht="15" thickBot="1" x14ac:dyDescent="0.4">
      <c r="B37" s="1" t="s">
        <v>134</v>
      </c>
      <c r="C37" s="1" t="s">
        <v>95</v>
      </c>
      <c r="J37" s="1">
        <f>J36-J35</f>
        <v>0</v>
      </c>
      <c r="K37" s="1">
        <f t="shared" ref="K37:AP37" si="18">K36-K35+J37</f>
        <v>0</v>
      </c>
      <c r="L37" s="1">
        <f t="shared" si="18"/>
        <v>0</v>
      </c>
      <c r="M37" s="1">
        <f t="shared" si="18"/>
        <v>0</v>
      </c>
      <c r="N37" s="1">
        <f t="shared" si="18"/>
        <v>0</v>
      </c>
      <c r="O37" s="1">
        <f t="shared" si="18"/>
        <v>0</v>
      </c>
      <c r="P37" s="1">
        <f t="shared" si="18"/>
        <v>0</v>
      </c>
      <c r="Q37" s="1">
        <f t="shared" si="18"/>
        <v>0</v>
      </c>
      <c r="R37" s="1">
        <f t="shared" si="18"/>
        <v>0</v>
      </c>
      <c r="S37" s="1">
        <f t="shared" si="18"/>
        <v>0</v>
      </c>
      <c r="T37" s="1">
        <f t="shared" si="18"/>
        <v>0</v>
      </c>
      <c r="U37" s="1">
        <f t="shared" si="18"/>
        <v>0</v>
      </c>
      <c r="V37" s="1">
        <f t="shared" si="18"/>
        <v>0</v>
      </c>
      <c r="W37" s="1">
        <f t="shared" si="18"/>
        <v>0</v>
      </c>
      <c r="X37" s="1">
        <f t="shared" si="18"/>
        <v>0</v>
      </c>
      <c r="Y37" s="1">
        <f t="shared" si="18"/>
        <v>0</v>
      </c>
      <c r="Z37" s="1">
        <f t="shared" si="18"/>
        <v>0</v>
      </c>
      <c r="AA37" s="1">
        <f t="shared" si="18"/>
        <v>0</v>
      </c>
      <c r="AB37" s="1">
        <f t="shared" si="18"/>
        <v>0</v>
      </c>
      <c r="AC37" s="1">
        <f t="shared" si="18"/>
        <v>0</v>
      </c>
      <c r="AD37" s="1">
        <f t="shared" si="18"/>
        <v>0</v>
      </c>
      <c r="AE37" s="1">
        <f t="shared" si="18"/>
        <v>0</v>
      </c>
      <c r="AF37" s="1">
        <f t="shared" si="18"/>
        <v>0</v>
      </c>
      <c r="AG37" s="1">
        <f t="shared" si="18"/>
        <v>0</v>
      </c>
      <c r="AH37" s="1">
        <f t="shared" si="18"/>
        <v>0</v>
      </c>
      <c r="AI37" s="1">
        <f t="shared" si="18"/>
        <v>0</v>
      </c>
      <c r="AJ37" s="1">
        <f t="shared" si="18"/>
        <v>-7047</v>
      </c>
      <c r="AK37" s="1">
        <f t="shared" si="18"/>
        <v>-7047</v>
      </c>
      <c r="AL37" s="1">
        <f t="shared" si="18"/>
        <v>-7047</v>
      </c>
      <c r="AM37" s="1">
        <f t="shared" si="18"/>
        <v>-7047</v>
      </c>
      <c r="AN37" s="1">
        <f t="shared" si="18"/>
        <v>-7047</v>
      </c>
      <c r="AO37" s="1">
        <f t="shared" si="18"/>
        <v>-7047</v>
      </c>
      <c r="AP37" s="1">
        <f t="shared" si="18"/>
        <v>-7047</v>
      </c>
      <c r="AQ37" s="1">
        <f t="shared" ref="AQ37:BJ37" si="19">AQ36-AQ35+AP37</f>
        <v>-7047</v>
      </c>
      <c r="AR37" s="1">
        <f t="shared" si="19"/>
        <v>-7047</v>
      </c>
      <c r="AS37" s="1">
        <f t="shared" si="19"/>
        <v>-7047</v>
      </c>
      <c r="AT37" s="1">
        <f t="shared" si="19"/>
        <v>-7047</v>
      </c>
      <c r="AU37" s="1">
        <f t="shared" si="19"/>
        <v>-7047</v>
      </c>
      <c r="AV37" s="1">
        <f t="shared" si="19"/>
        <v>-7047</v>
      </c>
      <c r="AW37" s="1">
        <f t="shared" si="19"/>
        <v>-7047</v>
      </c>
      <c r="AX37" s="1">
        <f t="shared" si="19"/>
        <v>-7047</v>
      </c>
      <c r="AY37" s="1">
        <f t="shared" si="19"/>
        <v>-7047</v>
      </c>
      <c r="AZ37" s="1">
        <f t="shared" si="19"/>
        <v>-10939</v>
      </c>
      <c r="BA37" s="1">
        <f t="shared" si="19"/>
        <v>-17939</v>
      </c>
      <c r="BB37" s="1">
        <f t="shared" si="19"/>
        <v>-24939</v>
      </c>
      <c r="BC37" s="1">
        <f t="shared" si="19"/>
        <v>-31939</v>
      </c>
      <c r="BD37" s="1">
        <f t="shared" si="19"/>
        <v>-31939</v>
      </c>
      <c r="BE37" s="1">
        <f t="shared" si="19"/>
        <v>-31939</v>
      </c>
      <c r="BF37" s="1">
        <f t="shared" si="19"/>
        <v>-31939</v>
      </c>
      <c r="BG37" s="1">
        <f t="shared" si="19"/>
        <v>-31939</v>
      </c>
      <c r="BH37" s="1">
        <f t="shared" si="19"/>
        <v>-31939</v>
      </c>
      <c r="BI37" s="1">
        <f t="shared" si="19"/>
        <v>-31939</v>
      </c>
      <c r="BJ37" s="1">
        <f t="shared" si="19"/>
        <v>-31939</v>
      </c>
      <c r="BT37" s="1" t="s">
        <v>136</v>
      </c>
    </row>
    <row r="38" spans="1:72" ht="15" thickBot="1" x14ac:dyDescent="0.4">
      <c r="A38" s="1" t="s">
        <v>85</v>
      </c>
      <c r="B38" s="4" t="s">
        <v>138</v>
      </c>
      <c r="C38" s="4" t="s">
        <v>87</v>
      </c>
      <c r="D38" s="4" t="s">
        <v>88</v>
      </c>
      <c r="E38" s="4"/>
      <c r="F38" s="4"/>
      <c r="G38" s="4" t="s">
        <v>89</v>
      </c>
      <c r="H38" s="4" t="s">
        <v>139</v>
      </c>
      <c r="I38" s="4" t="s">
        <v>140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273</v>
      </c>
      <c r="R38" s="4">
        <v>0</v>
      </c>
      <c r="S38" s="4">
        <v>0</v>
      </c>
      <c r="T38" s="4">
        <v>0</v>
      </c>
      <c r="U38" s="4">
        <v>5760</v>
      </c>
      <c r="V38" s="4">
        <v>7326</v>
      </c>
      <c r="W38" s="4">
        <v>0</v>
      </c>
      <c r="X38" s="4">
        <v>0</v>
      </c>
      <c r="Y38" s="4">
        <v>0</v>
      </c>
      <c r="Z38" s="4">
        <v>0</v>
      </c>
      <c r="AA38" s="4">
        <v>131</v>
      </c>
      <c r="AB38" s="4">
        <v>131</v>
      </c>
      <c r="AC38" s="4">
        <v>131</v>
      </c>
      <c r="AD38" s="4">
        <v>1265</v>
      </c>
      <c r="AE38" s="4">
        <v>842</v>
      </c>
      <c r="AF38" s="4">
        <v>842</v>
      </c>
      <c r="AG38" s="4">
        <v>842</v>
      </c>
      <c r="AH38" s="4">
        <v>842</v>
      </c>
      <c r="AI38" s="4">
        <v>1116</v>
      </c>
      <c r="AJ38" s="4">
        <v>1184</v>
      </c>
      <c r="AK38" s="4">
        <v>1184</v>
      </c>
      <c r="AL38" s="4">
        <v>3561</v>
      </c>
      <c r="AM38" s="4">
        <v>1062</v>
      </c>
      <c r="AN38" s="4">
        <v>1174</v>
      </c>
      <c r="AO38" s="4">
        <v>1468</v>
      </c>
      <c r="AP38" s="4">
        <v>1468</v>
      </c>
      <c r="AQ38" s="4">
        <v>1174</v>
      </c>
      <c r="AR38" s="4">
        <v>858</v>
      </c>
      <c r="AS38" s="4">
        <v>858</v>
      </c>
      <c r="AT38" s="4">
        <v>858</v>
      </c>
      <c r="AU38" s="4">
        <v>858</v>
      </c>
      <c r="AV38" s="4">
        <v>1241</v>
      </c>
      <c r="AW38" s="4">
        <v>1335</v>
      </c>
      <c r="AX38" s="4">
        <v>1335</v>
      </c>
      <c r="AY38" s="4">
        <v>1069</v>
      </c>
      <c r="AZ38" s="4">
        <v>1069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f>SUM(J38:BK38)</f>
        <v>41257</v>
      </c>
      <c r="BM38" s="4">
        <v>15000</v>
      </c>
      <c r="BN38" s="4">
        <v>0</v>
      </c>
      <c r="BO38" s="4">
        <v>3000</v>
      </c>
      <c r="BP38" s="4">
        <v>0</v>
      </c>
      <c r="BQ38" s="4">
        <v>0</v>
      </c>
      <c r="BR38" s="4"/>
      <c r="BT38" s="1" t="s">
        <v>141</v>
      </c>
    </row>
    <row r="39" spans="1:72" x14ac:dyDescent="0.35">
      <c r="B39" s="1" t="s">
        <v>138</v>
      </c>
      <c r="C39" s="1" t="s">
        <v>93</v>
      </c>
      <c r="H39" s="4" t="s">
        <v>142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T39" s="1" t="s">
        <v>141</v>
      </c>
    </row>
    <row r="40" spans="1:72" ht="15" thickBot="1" x14ac:dyDescent="0.4">
      <c r="B40" s="1" t="s">
        <v>138</v>
      </c>
      <c r="C40" s="1" t="s">
        <v>95</v>
      </c>
      <c r="J40" s="1">
        <f>J39-J38</f>
        <v>0</v>
      </c>
      <c r="K40" s="1">
        <f t="shared" ref="K40:AP40" si="20">K39-K38+J40</f>
        <v>0</v>
      </c>
      <c r="L40" s="1">
        <f t="shared" si="20"/>
        <v>0</v>
      </c>
      <c r="M40" s="1">
        <f t="shared" si="20"/>
        <v>0</v>
      </c>
      <c r="N40" s="1">
        <f t="shared" si="20"/>
        <v>0</v>
      </c>
      <c r="O40" s="1">
        <f t="shared" si="20"/>
        <v>0</v>
      </c>
      <c r="P40" s="1">
        <f t="shared" si="20"/>
        <v>0</v>
      </c>
      <c r="Q40" s="1">
        <f t="shared" si="20"/>
        <v>-273</v>
      </c>
      <c r="R40" s="1">
        <f t="shared" si="20"/>
        <v>-273</v>
      </c>
      <c r="S40" s="1">
        <f t="shared" si="20"/>
        <v>-273</v>
      </c>
      <c r="T40" s="1">
        <f t="shared" si="20"/>
        <v>-273</v>
      </c>
      <c r="U40" s="1">
        <f t="shared" si="20"/>
        <v>-6033</v>
      </c>
      <c r="V40" s="1">
        <f t="shared" si="20"/>
        <v>-13359</v>
      </c>
      <c r="W40" s="1">
        <f t="shared" si="20"/>
        <v>-13359</v>
      </c>
      <c r="X40" s="1">
        <f t="shared" si="20"/>
        <v>-13359</v>
      </c>
      <c r="Y40" s="1">
        <f t="shared" si="20"/>
        <v>-13359</v>
      </c>
      <c r="Z40" s="1">
        <f t="shared" si="20"/>
        <v>-13359</v>
      </c>
      <c r="AA40" s="1">
        <f t="shared" si="20"/>
        <v>-13490</v>
      </c>
      <c r="AB40" s="1">
        <f t="shared" si="20"/>
        <v>-13621</v>
      </c>
      <c r="AC40" s="1">
        <f t="shared" si="20"/>
        <v>-13752</v>
      </c>
      <c r="AD40" s="1">
        <f t="shared" si="20"/>
        <v>-15017</v>
      </c>
      <c r="AE40" s="1">
        <f t="shared" si="20"/>
        <v>-15859</v>
      </c>
      <c r="AF40" s="1">
        <f t="shared" si="20"/>
        <v>-16701</v>
      </c>
      <c r="AG40" s="1">
        <f t="shared" si="20"/>
        <v>-17543</v>
      </c>
      <c r="AH40" s="1">
        <f t="shared" si="20"/>
        <v>-18385</v>
      </c>
      <c r="AI40" s="1">
        <f t="shared" si="20"/>
        <v>-19501</v>
      </c>
      <c r="AJ40" s="1">
        <f t="shared" si="20"/>
        <v>-20685</v>
      </c>
      <c r="AK40" s="1">
        <f t="shared" si="20"/>
        <v>-21869</v>
      </c>
      <c r="AL40" s="1">
        <f t="shared" si="20"/>
        <v>-25430</v>
      </c>
      <c r="AM40" s="1">
        <f t="shared" si="20"/>
        <v>-26492</v>
      </c>
      <c r="AN40" s="1">
        <f t="shared" si="20"/>
        <v>-27666</v>
      </c>
      <c r="AO40" s="1">
        <f t="shared" si="20"/>
        <v>-29134</v>
      </c>
      <c r="AP40" s="1">
        <f t="shared" si="20"/>
        <v>-30602</v>
      </c>
      <c r="AQ40" s="1">
        <f t="shared" ref="AQ40:BJ40" si="21">AQ39-AQ38+AP40</f>
        <v>-31776</v>
      </c>
      <c r="AR40" s="1">
        <f t="shared" si="21"/>
        <v>-32634</v>
      </c>
      <c r="AS40" s="1">
        <f t="shared" si="21"/>
        <v>-33492</v>
      </c>
      <c r="AT40" s="1">
        <f t="shared" si="21"/>
        <v>-34350</v>
      </c>
      <c r="AU40" s="1">
        <f t="shared" si="21"/>
        <v>-35208</v>
      </c>
      <c r="AV40" s="1">
        <f t="shared" si="21"/>
        <v>-36449</v>
      </c>
      <c r="AW40" s="1">
        <f t="shared" si="21"/>
        <v>-37784</v>
      </c>
      <c r="AX40" s="1">
        <f t="shared" si="21"/>
        <v>-39119</v>
      </c>
      <c r="AY40" s="1">
        <f t="shared" si="21"/>
        <v>-40188</v>
      </c>
      <c r="AZ40" s="1">
        <f t="shared" si="21"/>
        <v>-41257</v>
      </c>
      <c r="BA40" s="1">
        <f t="shared" si="21"/>
        <v>-41257</v>
      </c>
      <c r="BB40" s="1">
        <f t="shared" si="21"/>
        <v>-41257</v>
      </c>
      <c r="BC40" s="1">
        <f t="shared" si="21"/>
        <v>-41257</v>
      </c>
      <c r="BD40" s="1">
        <f t="shared" si="21"/>
        <v>-41257</v>
      </c>
      <c r="BE40" s="1">
        <f t="shared" si="21"/>
        <v>-41257</v>
      </c>
      <c r="BF40" s="1">
        <f t="shared" si="21"/>
        <v>-41257</v>
      </c>
      <c r="BG40" s="1">
        <f t="shared" si="21"/>
        <v>-41257</v>
      </c>
      <c r="BH40" s="1">
        <f t="shared" si="21"/>
        <v>-41257</v>
      </c>
      <c r="BI40" s="1">
        <f t="shared" si="21"/>
        <v>-41257</v>
      </c>
      <c r="BJ40" s="1">
        <f t="shared" si="21"/>
        <v>-41257</v>
      </c>
      <c r="BT40" s="1" t="s">
        <v>141</v>
      </c>
    </row>
    <row r="41" spans="1:72" ht="15" thickBot="1" x14ac:dyDescent="0.4">
      <c r="A41" s="1" t="s">
        <v>85</v>
      </c>
      <c r="B41" s="4" t="s">
        <v>143</v>
      </c>
      <c r="C41" s="4" t="s">
        <v>87</v>
      </c>
      <c r="D41" s="4" t="s">
        <v>88</v>
      </c>
      <c r="E41" s="4"/>
      <c r="F41" s="4"/>
      <c r="G41" s="4" t="s">
        <v>89</v>
      </c>
      <c r="H41" s="4" t="s">
        <v>144</v>
      </c>
      <c r="I41" s="4" t="s">
        <v>131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15139</v>
      </c>
      <c r="W41" s="4">
        <v>2880</v>
      </c>
      <c r="X41" s="4">
        <v>0</v>
      </c>
      <c r="Y41" s="4">
        <v>0</v>
      </c>
      <c r="Z41" s="4">
        <v>0</v>
      </c>
      <c r="AA41" s="4">
        <v>0</v>
      </c>
      <c r="AB41" s="4">
        <v>262</v>
      </c>
      <c r="AC41" s="4">
        <v>262</v>
      </c>
      <c r="AD41" s="4">
        <v>262</v>
      </c>
      <c r="AE41" s="4">
        <v>262</v>
      </c>
      <c r="AF41" s="4">
        <v>1144</v>
      </c>
      <c r="AG41" s="4">
        <v>1144</v>
      </c>
      <c r="AH41" s="4">
        <v>1144</v>
      </c>
      <c r="AI41" s="4">
        <v>1144</v>
      </c>
      <c r="AJ41" s="4">
        <v>1670</v>
      </c>
      <c r="AK41" s="4">
        <v>1800</v>
      </c>
      <c r="AL41" s="4">
        <v>1800</v>
      </c>
      <c r="AM41" s="4">
        <v>1440</v>
      </c>
      <c r="AN41" s="4">
        <v>1440</v>
      </c>
      <c r="AO41" s="4">
        <v>1440</v>
      </c>
      <c r="AP41" s="4">
        <v>1800</v>
      </c>
      <c r="AQ41" s="4">
        <v>1800</v>
      </c>
      <c r="AR41" s="4">
        <v>1440</v>
      </c>
      <c r="AS41" s="4">
        <v>1716</v>
      </c>
      <c r="AT41" s="4">
        <v>1716</v>
      </c>
      <c r="AU41" s="4">
        <v>1716</v>
      </c>
      <c r="AV41" s="4">
        <v>1716</v>
      </c>
      <c r="AW41" s="4">
        <v>1654</v>
      </c>
      <c r="AX41" s="4">
        <v>1638</v>
      </c>
      <c r="AY41" s="4">
        <v>1638</v>
      </c>
      <c r="AZ41" s="4">
        <v>1310</v>
      </c>
      <c r="BA41" s="4">
        <v>1310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f>SUM(J41:BK41)</f>
        <v>52687</v>
      </c>
      <c r="BM41" s="4">
        <v>6000</v>
      </c>
      <c r="BN41" s="4">
        <v>0</v>
      </c>
      <c r="BO41" s="4">
        <v>3000</v>
      </c>
      <c r="BP41" s="4">
        <v>0</v>
      </c>
      <c r="BQ41" s="4">
        <v>0</v>
      </c>
      <c r="BR41" s="4"/>
      <c r="BT41" s="1" t="s">
        <v>145</v>
      </c>
    </row>
    <row r="42" spans="1:72" x14ac:dyDescent="0.35">
      <c r="B42" s="1" t="s">
        <v>143</v>
      </c>
      <c r="C42" s="1" t="s">
        <v>93</v>
      </c>
      <c r="H42" s="4" t="s">
        <v>146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T42" s="1" t="s">
        <v>145</v>
      </c>
    </row>
    <row r="43" spans="1:72" ht="15" thickBot="1" x14ac:dyDescent="0.4">
      <c r="B43" s="1" t="s">
        <v>143</v>
      </c>
      <c r="C43" s="1" t="s">
        <v>95</v>
      </c>
      <c r="J43" s="1">
        <f>J42-J41</f>
        <v>0</v>
      </c>
      <c r="K43" s="1">
        <f t="shared" ref="K43:AP43" si="22">K42-K41+J43</f>
        <v>0</v>
      </c>
      <c r="L43" s="1">
        <f t="shared" si="22"/>
        <v>0</v>
      </c>
      <c r="M43" s="1">
        <f t="shared" si="22"/>
        <v>0</v>
      </c>
      <c r="N43" s="1">
        <f t="shared" si="22"/>
        <v>0</v>
      </c>
      <c r="O43" s="1">
        <f t="shared" si="22"/>
        <v>0</v>
      </c>
      <c r="P43" s="1">
        <f t="shared" si="22"/>
        <v>0</v>
      </c>
      <c r="Q43" s="1">
        <f t="shared" si="22"/>
        <v>0</v>
      </c>
      <c r="R43" s="1">
        <f t="shared" si="22"/>
        <v>0</v>
      </c>
      <c r="S43" s="1">
        <f t="shared" si="22"/>
        <v>0</v>
      </c>
      <c r="T43" s="1">
        <f t="shared" si="22"/>
        <v>0</v>
      </c>
      <c r="U43" s="1">
        <f t="shared" si="22"/>
        <v>0</v>
      </c>
      <c r="V43" s="1">
        <f t="shared" si="22"/>
        <v>-15139</v>
      </c>
      <c r="W43" s="1">
        <f t="shared" si="22"/>
        <v>-18019</v>
      </c>
      <c r="X43" s="1">
        <f t="shared" si="22"/>
        <v>-18019</v>
      </c>
      <c r="Y43" s="1">
        <f t="shared" si="22"/>
        <v>-18019</v>
      </c>
      <c r="Z43" s="1">
        <f t="shared" si="22"/>
        <v>-18019</v>
      </c>
      <c r="AA43" s="1">
        <f t="shared" si="22"/>
        <v>-18019</v>
      </c>
      <c r="AB43" s="1">
        <f t="shared" si="22"/>
        <v>-18281</v>
      </c>
      <c r="AC43" s="1">
        <f t="shared" si="22"/>
        <v>-18543</v>
      </c>
      <c r="AD43" s="1">
        <f t="shared" si="22"/>
        <v>-18805</v>
      </c>
      <c r="AE43" s="1">
        <f t="shared" si="22"/>
        <v>-19067</v>
      </c>
      <c r="AF43" s="1">
        <f t="shared" si="22"/>
        <v>-20211</v>
      </c>
      <c r="AG43" s="1">
        <f t="shared" si="22"/>
        <v>-21355</v>
      </c>
      <c r="AH43" s="1">
        <f t="shared" si="22"/>
        <v>-22499</v>
      </c>
      <c r="AI43" s="1">
        <f t="shared" si="22"/>
        <v>-23643</v>
      </c>
      <c r="AJ43" s="1">
        <f t="shared" si="22"/>
        <v>-25313</v>
      </c>
      <c r="AK43" s="1">
        <f t="shared" si="22"/>
        <v>-27113</v>
      </c>
      <c r="AL43" s="1">
        <f t="shared" si="22"/>
        <v>-28913</v>
      </c>
      <c r="AM43" s="1">
        <f t="shared" si="22"/>
        <v>-30353</v>
      </c>
      <c r="AN43" s="1">
        <f t="shared" si="22"/>
        <v>-31793</v>
      </c>
      <c r="AO43" s="1">
        <f t="shared" si="22"/>
        <v>-33233</v>
      </c>
      <c r="AP43" s="1">
        <f t="shared" si="22"/>
        <v>-35033</v>
      </c>
      <c r="AQ43" s="1">
        <f t="shared" ref="AQ43:BJ43" si="23">AQ42-AQ41+AP43</f>
        <v>-36833</v>
      </c>
      <c r="AR43" s="1">
        <f t="shared" si="23"/>
        <v>-38273</v>
      </c>
      <c r="AS43" s="1">
        <f t="shared" si="23"/>
        <v>-39989</v>
      </c>
      <c r="AT43" s="1">
        <f t="shared" si="23"/>
        <v>-41705</v>
      </c>
      <c r="AU43" s="1">
        <f t="shared" si="23"/>
        <v>-43421</v>
      </c>
      <c r="AV43" s="1">
        <f t="shared" si="23"/>
        <v>-45137</v>
      </c>
      <c r="AW43" s="1">
        <f t="shared" si="23"/>
        <v>-46791</v>
      </c>
      <c r="AX43" s="1">
        <f t="shared" si="23"/>
        <v>-48429</v>
      </c>
      <c r="AY43" s="1">
        <f t="shared" si="23"/>
        <v>-50067</v>
      </c>
      <c r="AZ43" s="1">
        <f t="shared" si="23"/>
        <v>-51377</v>
      </c>
      <c r="BA43" s="1">
        <f t="shared" si="23"/>
        <v>-52687</v>
      </c>
      <c r="BB43" s="1">
        <f t="shared" si="23"/>
        <v>-52687</v>
      </c>
      <c r="BC43" s="1">
        <f t="shared" si="23"/>
        <v>-52687</v>
      </c>
      <c r="BD43" s="1">
        <f t="shared" si="23"/>
        <v>-52687</v>
      </c>
      <c r="BE43" s="1">
        <f t="shared" si="23"/>
        <v>-52687</v>
      </c>
      <c r="BF43" s="1">
        <f t="shared" si="23"/>
        <v>-52687</v>
      </c>
      <c r="BG43" s="1">
        <f t="shared" si="23"/>
        <v>-52687</v>
      </c>
      <c r="BH43" s="1">
        <f t="shared" si="23"/>
        <v>-52687</v>
      </c>
      <c r="BI43" s="1">
        <f t="shared" si="23"/>
        <v>-52687</v>
      </c>
      <c r="BJ43" s="1">
        <f t="shared" si="23"/>
        <v>-52687</v>
      </c>
      <c r="BT43" s="1" t="s">
        <v>145</v>
      </c>
    </row>
    <row r="44" spans="1:72" ht="15" thickBot="1" x14ac:dyDescent="0.4">
      <c r="A44" s="1" t="s">
        <v>85</v>
      </c>
      <c r="B44" s="4" t="s">
        <v>147</v>
      </c>
      <c r="C44" s="4" t="s">
        <v>87</v>
      </c>
      <c r="D44" s="4" t="s">
        <v>88</v>
      </c>
      <c r="E44" s="4"/>
      <c r="F44" s="4"/>
      <c r="G44" s="4" t="s">
        <v>89</v>
      </c>
      <c r="H44" s="4" t="s">
        <v>148</v>
      </c>
      <c r="I44" s="4" t="s">
        <v>149</v>
      </c>
      <c r="J44" s="4">
        <v>0</v>
      </c>
      <c r="K44" s="4">
        <v>0</v>
      </c>
      <c r="L44" s="4">
        <v>32964</v>
      </c>
      <c r="M44" s="4">
        <v>48237</v>
      </c>
      <c r="N44" s="4">
        <v>0</v>
      </c>
      <c r="O44" s="4">
        <v>0</v>
      </c>
      <c r="P44" s="4">
        <v>0</v>
      </c>
      <c r="Q44" s="4">
        <v>20700</v>
      </c>
      <c r="R44" s="4">
        <v>103396</v>
      </c>
      <c r="S44" s="4">
        <v>3600</v>
      </c>
      <c r="T44" s="4">
        <v>0</v>
      </c>
      <c r="U44" s="4">
        <v>0</v>
      </c>
      <c r="V44" s="4">
        <v>20921</v>
      </c>
      <c r="W44" s="4">
        <v>87930</v>
      </c>
      <c r="X44" s="4">
        <v>0</v>
      </c>
      <c r="Y44" s="4">
        <v>0</v>
      </c>
      <c r="Z44" s="4">
        <v>0</v>
      </c>
      <c r="AA44" s="4">
        <v>91957</v>
      </c>
      <c r="AB44" s="4">
        <v>1808</v>
      </c>
      <c r="AC44" s="4">
        <v>0</v>
      </c>
      <c r="AD44" s="4">
        <v>0</v>
      </c>
      <c r="AE44" s="4">
        <v>80982</v>
      </c>
      <c r="AF44" s="4">
        <v>3564</v>
      </c>
      <c r="AG44" s="4">
        <v>3590</v>
      </c>
      <c r="AH44" s="4">
        <v>0</v>
      </c>
      <c r="AI44" s="4">
        <v>0</v>
      </c>
      <c r="AJ44" s="4">
        <v>100782</v>
      </c>
      <c r="AK44" s="4">
        <v>0</v>
      </c>
      <c r="AL44" s="4">
        <v>0</v>
      </c>
      <c r="AM44" s="4">
        <v>10782</v>
      </c>
      <c r="AN44" s="4">
        <v>70650</v>
      </c>
      <c r="AO44" s="4">
        <v>864</v>
      </c>
      <c r="AP44" s="4">
        <v>0</v>
      </c>
      <c r="AQ44" s="4">
        <v>0</v>
      </c>
      <c r="AR44" s="4">
        <v>75582</v>
      </c>
      <c r="AS44" s="4">
        <v>0</v>
      </c>
      <c r="AT44" s="4">
        <v>0</v>
      </c>
      <c r="AU44" s="4">
        <v>0</v>
      </c>
      <c r="AV44" s="4">
        <v>0</v>
      </c>
      <c r="AW44" s="4">
        <v>54000</v>
      </c>
      <c r="AX44" s="4">
        <v>0</v>
      </c>
      <c r="AY44" s="4">
        <v>0</v>
      </c>
      <c r="AZ44" s="4">
        <v>37007</v>
      </c>
      <c r="BA44" s="4">
        <v>41400</v>
      </c>
      <c r="BB44" s="4">
        <v>18000</v>
      </c>
      <c r="BC44" s="4">
        <v>18000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f>SUM(J44:BK44)</f>
        <v>926716</v>
      </c>
      <c r="BM44" s="4">
        <v>510000</v>
      </c>
      <c r="BN44" s="4">
        <v>0</v>
      </c>
      <c r="BO44" s="4">
        <v>5000</v>
      </c>
      <c r="BP44" s="4">
        <v>0</v>
      </c>
      <c r="BQ44" s="4">
        <v>0</v>
      </c>
      <c r="BR44" s="4"/>
      <c r="BT44" s="1" t="s">
        <v>150</v>
      </c>
    </row>
    <row r="45" spans="1:72" x14ac:dyDescent="0.35">
      <c r="B45" s="1" t="s">
        <v>147</v>
      </c>
      <c r="C45" s="1" t="s">
        <v>93</v>
      </c>
      <c r="H45" s="4" t="s">
        <v>151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T45" s="1" t="s">
        <v>150</v>
      </c>
    </row>
    <row r="46" spans="1:72" ht="15" thickBot="1" x14ac:dyDescent="0.4">
      <c r="B46" s="1" t="s">
        <v>147</v>
      </c>
      <c r="C46" s="1" t="s">
        <v>95</v>
      </c>
      <c r="J46" s="1">
        <f>J45-J44</f>
        <v>0</v>
      </c>
      <c r="K46" s="1">
        <f t="shared" ref="K46:AP46" si="24">K45-K44+J46</f>
        <v>0</v>
      </c>
      <c r="L46" s="1">
        <f t="shared" si="24"/>
        <v>-32964</v>
      </c>
      <c r="M46" s="1">
        <f t="shared" si="24"/>
        <v>-81201</v>
      </c>
      <c r="N46" s="1">
        <f t="shared" si="24"/>
        <v>-81201</v>
      </c>
      <c r="O46" s="1">
        <f t="shared" si="24"/>
        <v>-81201</v>
      </c>
      <c r="P46" s="1">
        <f t="shared" si="24"/>
        <v>-81201</v>
      </c>
      <c r="Q46" s="1">
        <f t="shared" si="24"/>
        <v>-101901</v>
      </c>
      <c r="R46" s="1">
        <f t="shared" si="24"/>
        <v>-205297</v>
      </c>
      <c r="S46" s="1">
        <f t="shared" si="24"/>
        <v>-208897</v>
      </c>
      <c r="T46" s="1">
        <f t="shared" si="24"/>
        <v>-208897</v>
      </c>
      <c r="U46" s="1">
        <f t="shared" si="24"/>
        <v>-208897</v>
      </c>
      <c r="V46" s="1">
        <f t="shared" si="24"/>
        <v>-229818</v>
      </c>
      <c r="W46" s="1">
        <f t="shared" si="24"/>
        <v>-317748</v>
      </c>
      <c r="X46" s="1">
        <f t="shared" si="24"/>
        <v>-317748</v>
      </c>
      <c r="Y46" s="1">
        <f t="shared" si="24"/>
        <v>-317748</v>
      </c>
      <c r="Z46" s="1">
        <f t="shared" si="24"/>
        <v>-317748</v>
      </c>
      <c r="AA46" s="1">
        <f t="shared" si="24"/>
        <v>-409705</v>
      </c>
      <c r="AB46" s="1">
        <f t="shared" si="24"/>
        <v>-411513</v>
      </c>
      <c r="AC46" s="1">
        <f t="shared" si="24"/>
        <v>-411513</v>
      </c>
      <c r="AD46" s="1">
        <f t="shared" si="24"/>
        <v>-411513</v>
      </c>
      <c r="AE46" s="1">
        <f t="shared" si="24"/>
        <v>-492495</v>
      </c>
      <c r="AF46" s="1">
        <f t="shared" si="24"/>
        <v>-496059</v>
      </c>
      <c r="AG46" s="1">
        <f t="shared" si="24"/>
        <v>-499649</v>
      </c>
      <c r="AH46" s="1">
        <f t="shared" si="24"/>
        <v>-499649</v>
      </c>
      <c r="AI46" s="1">
        <f t="shared" si="24"/>
        <v>-499649</v>
      </c>
      <c r="AJ46" s="1">
        <f t="shared" si="24"/>
        <v>-600431</v>
      </c>
      <c r="AK46" s="1">
        <f t="shared" si="24"/>
        <v>-600431</v>
      </c>
      <c r="AL46" s="1">
        <f t="shared" si="24"/>
        <v>-600431</v>
      </c>
      <c r="AM46" s="1">
        <f t="shared" si="24"/>
        <v>-611213</v>
      </c>
      <c r="AN46" s="1">
        <f t="shared" si="24"/>
        <v>-681863</v>
      </c>
      <c r="AO46" s="1">
        <f t="shared" si="24"/>
        <v>-682727</v>
      </c>
      <c r="AP46" s="1">
        <f t="shared" si="24"/>
        <v>-682727</v>
      </c>
      <c r="AQ46" s="1">
        <f t="shared" ref="AQ46:BJ46" si="25">AQ45-AQ44+AP46</f>
        <v>-682727</v>
      </c>
      <c r="AR46" s="1">
        <f t="shared" si="25"/>
        <v>-758309</v>
      </c>
      <c r="AS46" s="1">
        <f t="shared" si="25"/>
        <v>-758309</v>
      </c>
      <c r="AT46" s="1">
        <f t="shared" si="25"/>
        <v>-758309</v>
      </c>
      <c r="AU46" s="1">
        <f t="shared" si="25"/>
        <v>-758309</v>
      </c>
      <c r="AV46" s="1">
        <f t="shared" si="25"/>
        <v>-758309</v>
      </c>
      <c r="AW46" s="1">
        <f t="shared" si="25"/>
        <v>-812309</v>
      </c>
      <c r="AX46" s="1">
        <f t="shared" si="25"/>
        <v>-812309</v>
      </c>
      <c r="AY46" s="1">
        <f t="shared" si="25"/>
        <v>-812309</v>
      </c>
      <c r="AZ46" s="1">
        <f t="shared" si="25"/>
        <v>-849316</v>
      </c>
      <c r="BA46" s="1">
        <f t="shared" si="25"/>
        <v>-890716</v>
      </c>
      <c r="BB46" s="1">
        <f t="shared" si="25"/>
        <v>-908716</v>
      </c>
      <c r="BC46" s="1">
        <f t="shared" si="25"/>
        <v>-926716</v>
      </c>
      <c r="BD46" s="1">
        <f t="shared" si="25"/>
        <v>-926716</v>
      </c>
      <c r="BE46" s="1">
        <f t="shared" si="25"/>
        <v>-926716</v>
      </c>
      <c r="BF46" s="1">
        <f t="shared" si="25"/>
        <v>-926716</v>
      </c>
      <c r="BG46" s="1">
        <f t="shared" si="25"/>
        <v>-926716</v>
      </c>
      <c r="BH46" s="1">
        <f t="shared" si="25"/>
        <v>-926716</v>
      </c>
      <c r="BI46" s="1">
        <f t="shared" si="25"/>
        <v>-926716</v>
      </c>
      <c r="BJ46" s="1">
        <f t="shared" si="25"/>
        <v>-926716</v>
      </c>
      <c r="BT46" s="1" t="s">
        <v>150</v>
      </c>
    </row>
    <row r="47" spans="1:72" ht="15" thickBot="1" x14ac:dyDescent="0.4">
      <c r="A47" s="1" t="s">
        <v>85</v>
      </c>
      <c r="B47" s="4" t="s">
        <v>152</v>
      </c>
      <c r="C47" s="4" t="s">
        <v>87</v>
      </c>
      <c r="D47" s="4" t="s">
        <v>88</v>
      </c>
      <c r="E47" s="4"/>
      <c r="F47" s="4"/>
      <c r="G47" s="4" t="s">
        <v>89</v>
      </c>
      <c r="H47" s="4" t="s">
        <v>153</v>
      </c>
      <c r="I47" s="4" t="s">
        <v>154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6614</v>
      </c>
      <c r="X47" s="4">
        <v>0</v>
      </c>
      <c r="Y47" s="4">
        <v>0</v>
      </c>
      <c r="Z47" s="4">
        <v>6291</v>
      </c>
      <c r="AA47" s="4">
        <v>0</v>
      </c>
      <c r="AB47" s="4">
        <v>1965</v>
      </c>
      <c r="AC47" s="4">
        <v>1965</v>
      </c>
      <c r="AD47" s="4">
        <v>1965</v>
      </c>
      <c r="AE47" s="4">
        <v>1965</v>
      </c>
      <c r="AF47" s="4">
        <v>14871</v>
      </c>
      <c r="AG47" s="4">
        <v>8580</v>
      </c>
      <c r="AH47" s="4">
        <v>8580</v>
      </c>
      <c r="AI47" s="4">
        <v>8580</v>
      </c>
      <c r="AJ47" s="4">
        <v>18843</v>
      </c>
      <c r="AK47" s="4">
        <v>13500</v>
      </c>
      <c r="AL47" s="4">
        <v>13500</v>
      </c>
      <c r="AM47" s="4">
        <v>17091</v>
      </c>
      <c r="AN47" s="4">
        <v>10800</v>
      </c>
      <c r="AO47" s="4">
        <v>10800</v>
      </c>
      <c r="AP47" s="4">
        <v>13500</v>
      </c>
      <c r="AQ47" s="4">
        <v>13500</v>
      </c>
      <c r="AR47" s="4">
        <v>10800</v>
      </c>
      <c r="AS47" s="4">
        <v>19161</v>
      </c>
      <c r="AT47" s="4">
        <v>12870</v>
      </c>
      <c r="AU47" s="4">
        <v>12870</v>
      </c>
      <c r="AV47" s="4">
        <v>12870</v>
      </c>
      <c r="AW47" s="4">
        <v>18723</v>
      </c>
      <c r="AX47" s="4">
        <v>12285</v>
      </c>
      <c r="AY47" s="4">
        <v>12285</v>
      </c>
      <c r="AZ47" s="4">
        <v>9825</v>
      </c>
      <c r="BA47" s="4">
        <v>9825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f>SUM(J47:BK47)</f>
        <v>304424</v>
      </c>
      <c r="BM47" s="4">
        <v>57000</v>
      </c>
      <c r="BN47" s="4">
        <v>0</v>
      </c>
      <c r="BO47" s="4">
        <v>3000</v>
      </c>
      <c r="BP47" s="4">
        <v>0</v>
      </c>
      <c r="BQ47" s="4">
        <v>0</v>
      </c>
      <c r="BR47" s="4"/>
      <c r="BT47" s="1" t="s">
        <v>155</v>
      </c>
    </row>
    <row r="48" spans="1:72" x14ac:dyDescent="0.35">
      <c r="B48" s="1" t="s">
        <v>152</v>
      </c>
      <c r="C48" s="1" t="s">
        <v>93</v>
      </c>
      <c r="H48" s="4" t="s">
        <v>156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T48" s="1" t="s">
        <v>155</v>
      </c>
    </row>
    <row r="49" spans="1:72" ht="15" thickBot="1" x14ac:dyDescent="0.4">
      <c r="B49" s="1" t="s">
        <v>152</v>
      </c>
      <c r="C49" s="1" t="s">
        <v>95</v>
      </c>
      <c r="J49" s="1">
        <f>J48-J47</f>
        <v>0</v>
      </c>
      <c r="K49" s="1">
        <f t="shared" ref="K49:AP49" si="26">K48-K47+J49</f>
        <v>0</v>
      </c>
      <c r="L49" s="1">
        <f t="shared" si="26"/>
        <v>0</v>
      </c>
      <c r="M49" s="1">
        <f t="shared" si="26"/>
        <v>0</v>
      </c>
      <c r="N49" s="1">
        <f t="shared" si="26"/>
        <v>0</v>
      </c>
      <c r="O49" s="1">
        <f t="shared" si="26"/>
        <v>0</v>
      </c>
      <c r="P49" s="1">
        <f t="shared" si="26"/>
        <v>0</v>
      </c>
      <c r="Q49" s="1">
        <f t="shared" si="26"/>
        <v>0</v>
      </c>
      <c r="R49" s="1">
        <f t="shared" si="26"/>
        <v>0</v>
      </c>
      <c r="S49" s="1">
        <f t="shared" si="26"/>
        <v>0</v>
      </c>
      <c r="T49" s="1">
        <f t="shared" si="26"/>
        <v>0</v>
      </c>
      <c r="U49" s="1">
        <f t="shared" si="26"/>
        <v>0</v>
      </c>
      <c r="V49" s="1">
        <f t="shared" si="26"/>
        <v>0</v>
      </c>
      <c r="W49" s="1">
        <f t="shared" si="26"/>
        <v>-6614</v>
      </c>
      <c r="X49" s="1">
        <f t="shared" si="26"/>
        <v>-6614</v>
      </c>
      <c r="Y49" s="1">
        <f t="shared" si="26"/>
        <v>-6614</v>
      </c>
      <c r="Z49" s="1">
        <f t="shared" si="26"/>
        <v>-12905</v>
      </c>
      <c r="AA49" s="1">
        <f t="shared" si="26"/>
        <v>-12905</v>
      </c>
      <c r="AB49" s="1">
        <f t="shared" si="26"/>
        <v>-14870</v>
      </c>
      <c r="AC49" s="1">
        <f t="shared" si="26"/>
        <v>-16835</v>
      </c>
      <c r="AD49" s="1">
        <f t="shared" si="26"/>
        <v>-18800</v>
      </c>
      <c r="AE49" s="1">
        <f t="shared" si="26"/>
        <v>-20765</v>
      </c>
      <c r="AF49" s="1">
        <f t="shared" si="26"/>
        <v>-35636</v>
      </c>
      <c r="AG49" s="1">
        <f t="shared" si="26"/>
        <v>-44216</v>
      </c>
      <c r="AH49" s="1">
        <f t="shared" si="26"/>
        <v>-52796</v>
      </c>
      <c r="AI49" s="1">
        <f t="shared" si="26"/>
        <v>-61376</v>
      </c>
      <c r="AJ49" s="1">
        <f t="shared" si="26"/>
        <v>-80219</v>
      </c>
      <c r="AK49" s="1">
        <f t="shared" si="26"/>
        <v>-93719</v>
      </c>
      <c r="AL49" s="1">
        <f t="shared" si="26"/>
        <v>-107219</v>
      </c>
      <c r="AM49" s="1">
        <f t="shared" si="26"/>
        <v>-124310</v>
      </c>
      <c r="AN49" s="1">
        <f t="shared" si="26"/>
        <v>-135110</v>
      </c>
      <c r="AO49" s="1">
        <f t="shared" si="26"/>
        <v>-145910</v>
      </c>
      <c r="AP49" s="1">
        <f t="shared" si="26"/>
        <v>-159410</v>
      </c>
      <c r="AQ49" s="1">
        <f t="shared" ref="AQ49:BJ49" si="27">AQ48-AQ47+AP49</f>
        <v>-172910</v>
      </c>
      <c r="AR49" s="1">
        <f t="shared" si="27"/>
        <v>-183710</v>
      </c>
      <c r="AS49" s="1">
        <f t="shared" si="27"/>
        <v>-202871</v>
      </c>
      <c r="AT49" s="1">
        <f t="shared" si="27"/>
        <v>-215741</v>
      </c>
      <c r="AU49" s="1">
        <f t="shared" si="27"/>
        <v>-228611</v>
      </c>
      <c r="AV49" s="1">
        <f t="shared" si="27"/>
        <v>-241481</v>
      </c>
      <c r="AW49" s="1">
        <f t="shared" si="27"/>
        <v>-260204</v>
      </c>
      <c r="AX49" s="1">
        <f t="shared" si="27"/>
        <v>-272489</v>
      </c>
      <c r="AY49" s="1">
        <f t="shared" si="27"/>
        <v>-284774</v>
      </c>
      <c r="AZ49" s="1">
        <f t="shared" si="27"/>
        <v>-294599</v>
      </c>
      <c r="BA49" s="1">
        <f t="shared" si="27"/>
        <v>-304424</v>
      </c>
      <c r="BB49" s="1">
        <f t="shared" si="27"/>
        <v>-304424</v>
      </c>
      <c r="BC49" s="1">
        <f t="shared" si="27"/>
        <v>-304424</v>
      </c>
      <c r="BD49" s="1">
        <f t="shared" si="27"/>
        <v>-304424</v>
      </c>
      <c r="BE49" s="1">
        <f t="shared" si="27"/>
        <v>-304424</v>
      </c>
      <c r="BF49" s="1">
        <f t="shared" si="27"/>
        <v>-304424</v>
      </c>
      <c r="BG49" s="1">
        <f t="shared" si="27"/>
        <v>-304424</v>
      </c>
      <c r="BH49" s="1">
        <f t="shared" si="27"/>
        <v>-304424</v>
      </c>
      <c r="BI49" s="1">
        <f t="shared" si="27"/>
        <v>-304424</v>
      </c>
      <c r="BJ49" s="1">
        <f t="shared" si="27"/>
        <v>-304424</v>
      </c>
      <c r="BT49" s="1" t="s">
        <v>155</v>
      </c>
    </row>
    <row r="50" spans="1:72" ht="15" thickBot="1" x14ac:dyDescent="0.4">
      <c r="A50" s="1" t="s">
        <v>85</v>
      </c>
      <c r="B50" s="4" t="s">
        <v>157</v>
      </c>
      <c r="C50" s="4" t="s">
        <v>87</v>
      </c>
      <c r="D50" s="4" t="s">
        <v>88</v>
      </c>
      <c r="E50" s="4"/>
      <c r="F50" s="4"/>
      <c r="G50" s="4" t="s">
        <v>89</v>
      </c>
      <c r="H50" s="4" t="s">
        <v>158</v>
      </c>
      <c r="I50" s="4" t="s">
        <v>154</v>
      </c>
      <c r="J50" s="4">
        <v>0</v>
      </c>
      <c r="K50" s="4">
        <v>0</v>
      </c>
      <c r="L50" s="4">
        <v>0</v>
      </c>
      <c r="M50" s="4">
        <v>2707</v>
      </c>
      <c r="N50" s="4">
        <v>0</v>
      </c>
      <c r="O50" s="4">
        <v>0</v>
      </c>
      <c r="P50" s="4">
        <v>0</v>
      </c>
      <c r="Q50" s="4">
        <v>0</v>
      </c>
      <c r="R50" s="4">
        <v>934</v>
      </c>
      <c r="S50" s="4">
        <v>0</v>
      </c>
      <c r="T50" s="4">
        <v>0</v>
      </c>
      <c r="U50" s="4">
        <v>0</v>
      </c>
      <c r="V50" s="4">
        <v>3366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1134</v>
      </c>
      <c r="AF50" s="4">
        <v>270</v>
      </c>
      <c r="AG50" s="4">
        <v>270</v>
      </c>
      <c r="AH50" s="4">
        <v>270</v>
      </c>
      <c r="AI50" s="4">
        <v>270</v>
      </c>
      <c r="AJ50" s="4">
        <v>281</v>
      </c>
      <c r="AK50" s="4">
        <v>284</v>
      </c>
      <c r="AL50" s="4">
        <v>284</v>
      </c>
      <c r="AM50" s="4">
        <v>2841</v>
      </c>
      <c r="AN50" s="4">
        <v>342</v>
      </c>
      <c r="AO50" s="4">
        <v>454</v>
      </c>
      <c r="AP50" s="4">
        <v>568</v>
      </c>
      <c r="AQ50" s="4">
        <v>568</v>
      </c>
      <c r="AR50" s="4">
        <v>454</v>
      </c>
      <c r="AS50" s="4">
        <v>0</v>
      </c>
      <c r="AT50" s="4">
        <v>0</v>
      </c>
      <c r="AU50" s="4">
        <v>0</v>
      </c>
      <c r="AV50" s="4">
        <v>0</v>
      </c>
      <c r="AW50" s="4">
        <v>414</v>
      </c>
      <c r="AX50" s="4">
        <v>516</v>
      </c>
      <c r="AY50" s="4">
        <v>516</v>
      </c>
      <c r="AZ50" s="4">
        <v>414</v>
      </c>
      <c r="BA50" s="4">
        <v>414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f>SUM(J50:BK50)</f>
        <v>17571</v>
      </c>
      <c r="BM50" s="4">
        <v>19800</v>
      </c>
      <c r="BN50" s="4">
        <v>0</v>
      </c>
      <c r="BO50" s="4">
        <v>1800</v>
      </c>
      <c r="BP50" s="4">
        <v>0</v>
      </c>
      <c r="BQ50" s="4">
        <v>0</v>
      </c>
      <c r="BR50" s="4"/>
      <c r="BT50" s="1" t="s">
        <v>159</v>
      </c>
    </row>
    <row r="51" spans="1:72" x14ac:dyDescent="0.35">
      <c r="B51" s="1" t="s">
        <v>157</v>
      </c>
      <c r="C51" s="1" t="s">
        <v>93</v>
      </c>
      <c r="H51" s="4" t="s">
        <v>160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T51" s="1" t="s">
        <v>159</v>
      </c>
    </row>
    <row r="52" spans="1:72" ht="15" thickBot="1" x14ac:dyDescent="0.4">
      <c r="B52" s="1" t="s">
        <v>157</v>
      </c>
      <c r="C52" s="1" t="s">
        <v>95</v>
      </c>
      <c r="J52" s="1">
        <f>J51-J50</f>
        <v>0</v>
      </c>
      <c r="K52" s="1">
        <f t="shared" ref="K52:AP52" si="28">K51-K50+J52</f>
        <v>0</v>
      </c>
      <c r="L52" s="1">
        <f t="shared" si="28"/>
        <v>0</v>
      </c>
      <c r="M52" s="1">
        <f t="shared" si="28"/>
        <v>-2707</v>
      </c>
      <c r="N52" s="1">
        <f t="shared" si="28"/>
        <v>-2707</v>
      </c>
      <c r="O52" s="1">
        <f t="shared" si="28"/>
        <v>-2707</v>
      </c>
      <c r="P52" s="1">
        <f t="shared" si="28"/>
        <v>-2707</v>
      </c>
      <c r="Q52" s="1">
        <f t="shared" si="28"/>
        <v>-2707</v>
      </c>
      <c r="R52" s="1">
        <f t="shared" si="28"/>
        <v>-3641</v>
      </c>
      <c r="S52" s="1">
        <f t="shared" si="28"/>
        <v>-3641</v>
      </c>
      <c r="T52" s="1">
        <f t="shared" si="28"/>
        <v>-3641</v>
      </c>
      <c r="U52" s="1">
        <f t="shared" si="28"/>
        <v>-3641</v>
      </c>
      <c r="V52" s="1">
        <f t="shared" si="28"/>
        <v>-7007</v>
      </c>
      <c r="W52" s="1">
        <f t="shared" si="28"/>
        <v>-7007</v>
      </c>
      <c r="X52" s="1">
        <f t="shared" si="28"/>
        <v>-7007</v>
      </c>
      <c r="Y52" s="1">
        <f t="shared" si="28"/>
        <v>-7007</v>
      </c>
      <c r="Z52" s="1">
        <f t="shared" si="28"/>
        <v>-7007</v>
      </c>
      <c r="AA52" s="1">
        <f t="shared" si="28"/>
        <v>-7007</v>
      </c>
      <c r="AB52" s="1">
        <f t="shared" si="28"/>
        <v>-7007</v>
      </c>
      <c r="AC52" s="1">
        <f t="shared" si="28"/>
        <v>-7007</v>
      </c>
      <c r="AD52" s="1">
        <f t="shared" si="28"/>
        <v>-7007</v>
      </c>
      <c r="AE52" s="1">
        <f t="shared" si="28"/>
        <v>-8141</v>
      </c>
      <c r="AF52" s="1">
        <f t="shared" si="28"/>
        <v>-8411</v>
      </c>
      <c r="AG52" s="1">
        <f t="shared" si="28"/>
        <v>-8681</v>
      </c>
      <c r="AH52" s="1">
        <f t="shared" si="28"/>
        <v>-8951</v>
      </c>
      <c r="AI52" s="1">
        <f t="shared" si="28"/>
        <v>-9221</v>
      </c>
      <c r="AJ52" s="1">
        <f t="shared" si="28"/>
        <v>-9502</v>
      </c>
      <c r="AK52" s="1">
        <f t="shared" si="28"/>
        <v>-9786</v>
      </c>
      <c r="AL52" s="1">
        <f t="shared" si="28"/>
        <v>-10070</v>
      </c>
      <c r="AM52" s="1">
        <f t="shared" si="28"/>
        <v>-12911</v>
      </c>
      <c r="AN52" s="1">
        <f t="shared" si="28"/>
        <v>-13253</v>
      </c>
      <c r="AO52" s="1">
        <f t="shared" si="28"/>
        <v>-13707</v>
      </c>
      <c r="AP52" s="1">
        <f t="shared" si="28"/>
        <v>-14275</v>
      </c>
      <c r="AQ52" s="1">
        <f t="shared" ref="AQ52:BJ52" si="29">AQ51-AQ50+AP52</f>
        <v>-14843</v>
      </c>
      <c r="AR52" s="1">
        <f t="shared" si="29"/>
        <v>-15297</v>
      </c>
      <c r="AS52" s="1">
        <f t="shared" si="29"/>
        <v>-15297</v>
      </c>
      <c r="AT52" s="1">
        <f t="shared" si="29"/>
        <v>-15297</v>
      </c>
      <c r="AU52" s="1">
        <f t="shared" si="29"/>
        <v>-15297</v>
      </c>
      <c r="AV52" s="1">
        <f t="shared" si="29"/>
        <v>-15297</v>
      </c>
      <c r="AW52" s="1">
        <f t="shared" si="29"/>
        <v>-15711</v>
      </c>
      <c r="AX52" s="1">
        <f t="shared" si="29"/>
        <v>-16227</v>
      </c>
      <c r="AY52" s="1">
        <f t="shared" si="29"/>
        <v>-16743</v>
      </c>
      <c r="AZ52" s="1">
        <f t="shared" si="29"/>
        <v>-17157</v>
      </c>
      <c r="BA52" s="1">
        <f t="shared" si="29"/>
        <v>-17571</v>
      </c>
      <c r="BB52" s="1">
        <f t="shared" si="29"/>
        <v>-17571</v>
      </c>
      <c r="BC52" s="1">
        <f t="shared" si="29"/>
        <v>-17571</v>
      </c>
      <c r="BD52" s="1">
        <f t="shared" si="29"/>
        <v>-17571</v>
      </c>
      <c r="BE52" s="1">
        <f t="shared" si="29"/>
        <v>-17571</v>
      </c>
      <c r="BF52" s="1">
        <f t="shared" si="29"/>
        <v>-17571</v>
      </c>
      <c r="BG52" s="1">
        <f t="shared" si="29"/>
        <v>-17571</v>
      </c>
      <c r="BH52" s="1">
        <f t="shared" si="29"/>
        <v>-17571</v>
      </c>
      <c r="BI52" s="1">
        <f t="shared" si="29"/>
        <v>-17571</v>
      </c>
      <c r="BJ52" s="1">
        <f t="shared" si="29"/>
        <v>-17571</v>
      </c>
      <c r="BT52" s="1" t="s">
        <v>159</v>
      </c>
    </row>
    <row r="53" spans="1:72" ht="15" thickBot="1" x14ac:dyDescent="0.4">
      <c r="A53" s="1" t="s">
        <v>85</v>
      </c>
      <c r="B53" s="4" t="s">
        <v>161</v>
      </c>
      <c r="C53" s="4" t="s">
        <v>87</v>
      </c>
      <c r="D53" s="4" t="s">
        <v>88</v>
      </c>
      <c r="E53" s="4"/>
      <c r="F53" s="4"/>
      <c r="G53" s="4" t="s">
        <v>89</v>
      </c>
      <c r="H53" s="4" t="s">
        <v>162</v>
      </c>
      <c r="I53" s="4" t="s">
        <v>111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3522</v>
      </c>
      <c r="AF53" s="4">
        <v>0</v>
      </c>
      <c r="AG53" s="4">
        <v>0</v>
      </c>
      <c r="AH53" s="4">
        <v>0</v>
      </c>
      <c r="AI53" s="4">
        <v>7020</v>
      </c>
      <c r="AJ53" s="4">
        <v>0</v>
      </c>
      <c r="AK53" s="4">
        <v>0</v>
      </c>
      <c r="AL53" s="4">
        <v>0</v>
      </c>
      <c r="AM53" s="4">
        <v>6990</v>
      </c>
      <c r="AN53" s="4">
        <v>0</v>
      </c>
      <c r="AO53" s="4">
        <v>0</v>
      </c>
      <c r="AP53" s="4">
        <v>0</v>
      </c>
      <c r="AQ53" s="4">
        <v>0</v>
      </c>
      <c r="AR53" s="4">
        <v>6990</v>
      </c>
      <c r="AS53" s="4">
        <v>0</v>
      </c>
      <c r="AT53" s="4">
        <v>0</v>
      </c>
      <c r="AU53" s="4">
        <v>0</v>
      </c>
      <c r="AV53" s="4">
        <v>7020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f>SUM(J53:BK53)</f>
        <v>31542</v>
      </c>
      <c r="BM53" s="4">
        <v>24000</v>
      </c>
      <c r="BN53" s="4">
        <v>0</v>
      </c>
      <c r="BO53" s="4">
        <v>3000</v>
      </c>
      <c r="BP53" s="4">
        <v>0</v>
      </c>
      <c r="BQ53" s="4">
        <v>0</v>
      </c>
      <c r="BR53" s="4"/>
      <c r="BT53" s="1" t="s">
        <v>163</v>
      </c>
    </row>
    <row r="54" spans="1:72" x14ac:dyDescent="0.35">
      <c r="B54" s="1" t="s">
        <v>161</v>
      </c>
      <c r="C54" s="1" t="s">
        <v>93</v>
      </c>
      <c r="H54" s="4" t="s">
        <v>164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T54" s="1" t="s">
        <v>163</v>
      </c>
    </row>
    <row r="55" spans="1:72" ht="15" thickBot="1" x14ac:dyDescent="0.4">
      <c r="B55" s="1" t="s">
        <v>161</v>
      </c>
      <c r="C55" s="1" t="s">
        <v>95</v>
      </c>
      <c r="J55" s="1">
        <f>J54-J53</f>
        <v>0</v>
      </c>
      <c r="K55" s="1">
        <f t="shared" ref="K55:AP55" si="30">K54-K53+J55</f>
        <v>0</v>
      </c>
      <c r="L55" s="1">
        <f t="shared" si="30"/>
        <v>0</v>
      </c>
      <c r="M55" s="1">
        <f t="shared" si="30"/>
        <v>0</v>
      </c>
      <c r="N55" s="1">
        <f t="shared" si="30"/>
        <v>0</v>
      </c>
      <c r="O55" s="1">
        <f t="shared" si="30"/>
        <v>0</v>
      </c>
      <c r="P55" s="1">
        <f t="shared" si="30"/>
        <v>0</v>
      </c>
      <c r="Q55" s="1">
        <f t="shared" si="30"/>
        <v>0</v>
      </c>
      <c r="R55" s="1">
        <f t="shared" si="30"/>
        <v>0</v>
      </c>
      <c r="S55" s="1">
        <f t="shared" si="30"/>
        <v>0</v>
      </c>
      <c r="T55" s="1">
        <f t="shared" si="30"/>
        <v>0</v>
      </c>
      <c r="U55" s="1">
        <f t="shared" si="30"/>
        <v>0</v>
      </c>
      <c r="V55" s="1">
        <f t="shared" si="30"/>
        <v>0</v>
      </c>
      <c r="W55" s="1">
        <f t="shared" si="30"/>
        <v>0</v>
      </c>
      <c r="X55" s="1">
        <f t="shared" si="30"/>
        <v>0</v>
      </c>
      <c r="Y55" s="1">
        <f t="shared" si="30"/>
        <v>0</v>
      </c>
      <c r="Z55" s="1">
        <f t="shared" si="30"/>
        <v>0</v>
      </c>
      <c r="AA55" s="1">
        <f t="shared" si="30"/>
        <v>0</v>
      </c>
      <c r="AB55" s="1">
        <f t="shared" si="30"/>
        <v>0</v>
      </c>
      <c r="AC55" s="1">
        <f t="shared" si="30"/>
        <v>0</v>
      </c>
      <c r="AD55" s="1">
        <f t="shared" si="30"/>
        <v>0</v>
      </c>
      <c r="AE55" s="1">
        <f t="shared" si="30"/>
        <v>-3522</v>
      </c>
      <c r="AF55" s="1">
        <f t="shared" si="30"/>
        <v>-3522</v>
      </c>
      <c r="AG55" s="1">
        <f t="shared" si="30"/>
        <v>-3522</v>
      </c>
      <c r="AH55" s="1">
        <f t="shared" si="30"/>
        <v>-3522</v>
      </c>
      <c r="AI55" s="1">
        <f t="shared" si="30"/>
        <v>-10542</v>
      </c>
      <c r="AJ55" s="1">
        <f t="shared" si="30"/>
        <v>-10542</v>
      </c>
      <c r="AK55" s="1">
        <f t="shared" si="30"/>
        <v>-10542</v>
      </c>
      <c r="AL55" s="1">
        <f t="shared" si="30"/>
        <v>-10542</v>
      </c>
      <c r="AM55" s="1">
        <f t="shared" si="30"/>
        <v>-17532</v>
      </c>
      <c r="AN55" s="1">
        <f t="shared" si="30"/>
        <v>-17532</v>
      </c>
      <c r="AO55" s="1">
        <f t="shared" si="30"/>
        <v>-17532</v>
      </c>
      <c r="AP55" s="1">
        <f t="shared" si="30"/>
        <v>-17532</v>
      </c>
      <c r="AQ55" s="1">
        <f t="shared" ref="AQ55:BJ55" si="31">AQ54-AQ53+AP55</f>
        <v>-17532</v>
      </c>
      <c r="AR55" s="1">
        <f t="shared" si="31"/>
        <v>-24522</v>
      </c>
      <c r="AS55" s="1">
        <f t="shared" si="31"/>
        <v>-24522</v>
      </c>
      <c r="AT55" s="1">
        <f t="shared" si="31"/>
        <v>-24522</v>
      </c>
      <c r="AU55" s="1">
        <f t="shared" si="31"/>
        <v>-24522</v>
      </c>
      <c r="AV55" s="1">
        <f t="shared" si="31"/>
        <v>-31542</v>
      </c>
      <c r="AW55" s="1">
        <f t="shared" si="31"/>
        <v>-31542</v>
      </c>
      <c r="AX55" s="1">
        <f t="shared" si="31"/>
        <v>-31542</v>
      </c>
      <c r="AY55" s="1">
        <f t="shared" si="31"/>
        <v>-31542</v>
      </c>
      <c r="AZ55" s="1">
        <f t="shared" si="31"/>
        <v>-31542</v>
      </c>
      <c r="BA55" s="1">
        <f t="shared" si="31"/>
        <v>-31542</v>
      </c>
      <c r="BB55" s="1">
        <f t="shared" si="31"/>
        <v>-31542</v>
      </c>
      <c r="BC55" s="1">
        <f t="shared" si="31"/>
        <v>-31542</v>
      </c>
      <c r="BD55" s="1">
        <f t="shared" si="31"/>
        <v>-31542</v>
      </c>
      <c r="BE55" s="1">
        <f t="shared" si="31"/>
        <v>-31542</v>
      </c>
      <c r="BF55" s="1">
        <f t="shared" si="31"/>
        <v>-31542</v>
      </c>
      <c r="BG55" s="1">
        <f t="shared" si="31"/>
        <v>-31542</v>
      </c>
      <c r="BH55" s="1">
        <f t="shared" si="31"/>
        <v>-31542</v>
      </c>
      <c r="BI55" s="1">
        <f t="shared" si="31"/>
        <v>-31542</v>
      </c>
      <c r="BJ55" s="1">
        <f t="shared" si="31"/>
        <v>-31542</v>
      </c>
      <c r="BT55" s="1" t="s">
        <v>163</v>
      </c>
    </row>
    <row r="56" spans="1:72" ht="15" thickBot="1" x14ac:dyDescent="0.4">
      <c r="A56" s="1" t="s">
        <v>85</v>
      </c>
      <c r="B56" s="4" t="s">
        <v>165</v>
      </c>
      <c r="C56" s="4" t="s">
        <v>87</v>
      </c>
      <c r="D56" s="4" t="s">
        <v>88</v>
      </c>
      <c r="E56" s="4"/>
      <c r="F56" s="4"/>
      <c r="G56" s="4" t="s">
        <v>89</v>
      </c>
      <c r="H56" s="4" t="s">
        <v>166</v>
      </c>
      <c r="I56" s="4" t="s">
        <v>154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188</v>
      </c>
      <c r="X56" s="4">
        <v>0</v>
      </c>
      <c r="Y56" s="4">
        <v>0</v>
      </c>
      <c r="Z56" s="4">
        <v>79164</v>
      </c>
      <c r="AA56" s="4">
        <v>12832</v>
      </c>
      <c r="AB56" s="4">
        <v>0</v>
      </c>
      <c r="AC56" s="4">
        <v>0</v>
      </c>
      <c r="AD56" s="4">
        <v>40236</v>
      </c>
      <c r="AE56" s="4">
        <v>8960</v>
      </c>
      <c r="AF56" s="4">
        <v>30034</v>
      </c>
      <c r="AG56" s="4">
        <v>2160</v>
      </c>
      <c r="AH56" s="4">
        <v>2160</v>
      </c>
      <c r="AI56" s="4">
        <v>81412</v>
      </c>
      <c r="AJ56" s="4">
        <v>5872</v>
      </c>
      <c r="AK56" s="4">
        <v>2272</v>
      </c>
      <c r="AL56" s="4">
        <v>22728</v>
      </c>
      <c r="AM56" s="4">
        <v>21900</v>
      </c>
      <c r="AN56" s="4">
        <v>37508</v>
      </c>
      <c r="AO56" s="4">
        <v>4544</v>
      </c>
      <c r="AP56" s="4">
        <v>4544</v>
      </c>
      <c r="AQ56" s="4">
        <v>22796</v>
      </c>
      <c r="AR56" s="4">
        <v>7600</v>
      </c>
      <c r="AS56" s="4">
        <v>0</v>
      </c>
      <c r="AT56" s="4">
        <v>0</v>
      </c>
      <c r="AU56" s="4">
        <v>4800</v>
      </c>
      <c r="AV56" s="4">
        <v>4992</v>
      </c>
      <c r="AW56" s="4">
        <v>4128</v>
      </c>
      <c r="AX56" s="4">
        <v>4128</v>
      </c>
      <c r="AY56" s="4">
        <v>3312</v>
      </c>
      <c r="AZ56" s="4">
        <v>3312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f>SUM(J56:BK56)</f>
        <v>411582</v>
      </c>
      <c r="BM56" s="4">
        <v>336000</v>
      </c>
      <c r="BN56" s="4">
        <v>0</v>
      </c>
      <c r="BO56" s="4">
        <v>3000</v>
      </c>
      <c r="BP56" s="4">
        <v>0</v>
      </c>
      <c r="BQ56" s="4">
        <v>0</v>
      </c>
      <c r="BR56" s="4"/>
      <c r="BT56" s="1" t="s">
        <v>167</v>
      </c>
    </row>
    <row r="57" spans="1:72" x14ac:dyDescent="0.35">
      <c r="B57" s="1" t="s">
        <v>165</v>
      </c>
      <c r="C57" s="1" t="s">
        <v>93</v>
      </c>
      <c r="H57" s="4" t="s">
        <v>168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T57" s="1" t="s">
        <v>167</v>
      </c>
    </row>
    <row r="58" spans="1:72" ht="15" thickBot="1" x14ac:dyDescent="0.4">
      <c r="B58" s="1" t="s">
        <v>165</v>
      </c>
      <c r="C58" s="1" t="s">
        <v>95</v>
      </c>
      <c r="J58" s="1">
        <f>J57-J56</f>
        <v>0</v>
      </c>
      <c r="K58" s="1">
        <f t="shared" ref="K58:AP58" si="32">K57-K56+J58</f>
        <v>0</v>
      </c>
      <c r="L58" s="1">
        <f t="shared" si="32"/>
        <v>0</v>
      </c>
      <c r="M58" s="1">
        <f t="shared" si="32"/>
        <v>0</v>
      </c>
      <c r="N58" s="1">
        <f t="shared" si="32"/>
        <v>0</v>
      </c>
      <c r="O58" s="1">
        <f t="shared" si="32"/>
        <v>0</v>
      </c>
      <c r="P58" s="1">
        <f t="shared" si="32"/>
        <v>0</v>
      </c>
      <c r="Q58" s="1">
        <f t="shared" si="32"/>
        <v>0</v>
      </c>
      <c r="R58" s="1">
        <f t="shared" si="32"/>
        <v>0</v>
      </c>
      <c r="S58" s="1">
        <f t="shared" si="32"/>
        <v>0</v>
      </c>
      <c r="T58" s="1">
        <f t="shared" si="32"/>
        <v>0</v>
      </c>
      <c r="U58" s="1">
        <f t="shared" si="32"/>
        <v>0</v>
      </c>
      <c r="V58" s="1">
        <f t="shared" si="32"/>
        <v>0</v>
      </c>
      <c r="W58" s="1">
        <f t="shared" si="32"/>
        <v>-188</v>
      </c>
      <c r="X58" s="1">
        <f t="shared" si="32"/>
        <v>-188</v>
      </c>
      <c r="Y58" s="1">
        <f t="shared" si="32"/>
        <v>-188</v>
      </c>
      <c r="Z58" s="1">
        <f t="shared" si="32"/>
        <v>-79352</v>
      </c>
      <c r="AA58" s="1">
        <f t="shared" si="32"/>
        <v>-92184</v>
      </c>
      <c r="AB58" s="1">
        <f t="shared" si="32"/>
        <v>-92184</v>
      </c>
      <c r="AC58" s="1">
        <f t="shared" si="32"/>
        <v>-92184</v>
      </c>
      <c r="AD58" s="1">
        <f t="shared" si="32"/>
        <v>-132420</v>
      </c>
      <c r="AE58" s="1">
        <f t="shared" si="32"/>
        <v>-141380</v>
      </c>
      <c r="AF58" s="1">
        <f t="shared" si="32"/>
        <v>-171414</v>
      </c>
      <c r="AG58" s="1">
        <f t="shared" si="32"/>
        <v>-173574</v>
      </c>
      <c r="AH58" s="1">
        <f t="shared" si="32"/>
        <v>-175734</v>
      </c>
      <c r="AI58" s="1">
        <f t="shared" si="32"/>
        <v>-257146</v>
      </c>
      <c r="AJ58" s="1">
        <f t="shared" si="32"/>
        <v>-263018</v>
      </c>
      <c r="AK58" s="1">
        <f t="shared" si="32"/>
        <v>-265290</v>
      </c>
      <c r="AL58" s="1">
        <f t="shared" si="32"/>
        <v>-288018</v>
      </c>
      <c r="AM58" s="1">
        <f t="shared" si="32"/>
        <v>-309918</v>
      </c>
      <c r="AN58" s="1">
        <f t="shared" si="32"/>
        <v>-347426</v>
      </c>
      <c r="AO58" s="1">
        <f t="shared" si="32"/>
        <v>-351970</v>
      </c>
      <c r="AP58" s="1">
        <f t="shared" si="32"/>
        <v>-356514</v>
      </c>
      <c r="AQ58" s="1">
        <f t="shared" ref="AQ58:BJ58" si="33">AQ57-AQ56+AP58</f>
        <v>-379310</v>
      </c>
      <c r="AR58" s="1">
        <f t="shared" si="33"/>
        <v>-386910</v>
      </c>
      <c r="AS58" s="1">
        <f t="shared" si="33"/>
        <v>-386910</v>
      </c>
      <c r="AT58" s="1">
        <f t="shared" si="33"/>
        <v>-386910</v>
      </c>
      <c r="AU58" s="1">
        <f t="shared" si="33"/>
        <v>-391710</v>
      </c>
      <c r="AV58" s="1">
        <f t="shared" si="33"/>
        <v>-396702</v>
      </c>
      <c r="AW58" s="1">
        <f t="shared" si="33"/>
        <v>-400830</v>
      </c>
      <c r="AX58" s="1">
        <f t="shared" si="33"/>
        <v>-404958</v>
      </c>
      <c r="AY58" s="1">
        <f t="shared" si="33"/>
        <v>-408270</v>
      </c>
      <c r="AZ58" s="1">
        <f t="shared" si="33"/>
        <v>-411582</v>
      </c>
      <c r="BA58" s="1">
        <f t="shared" si="33"/>
        <v>-411582</v>
      </c>
      <c r="BB58" s="1">
        <f t="shared" si="33"/>
        <v>-411582</v>
      </c>
      <c r="BC58" s="1">
        <f t="shared" si="33"/>
        <v>-411582</v>
      </c>
      <c r="BD58" s="1">
        <f t="shared" si="33"/>
        <v>-411582</v>
      </c>
      <c r="BE58" s="1">
        <f t="shared" si="33"/>
        <v>-411582</v>
      </c>
      <c r="BF58" s="1">
        <f t="shared" si="33"/>
        <v>-411582</v>
      </c>
      <c r="BG58" s="1">
        <f t="shared" si="33"/>
        <v>-411582</v>
      </c>
      <c r="BH58" s="1">
        <f t="shared" si="33"/>
        <v>-411582</v>
      </c>
      <c r="BI58" s="1">
        <f t="shared" si="33"/>
        <v>-411582</v>
      </c>
      <c r="BJ58" s="1">
        <f t="shared" si="33"/>
        <v>-411582</v>
      </c>
      <c r="BT58" s="1" t="s">
        <v>167</v>
      </c>
    </row>
    <row r="59" spans="1:72" ht="15" thickBot="1" x14ac:dyDescent="0.4">
      <c r="A59" s="1" t="s">
        <v>85</v>
      </c>
      <c r="B59" s="4" t="s">
        <v>169</v>
      </c>
      <c r="C59" s="4" t="s">
        <v>87</v>
      </c>
      <c r="D59" s="4" t="s">
        <v>88</v>
      </c>
      <c r="E59" s="4"/>
      <c r="F59" s="4"/>
      <c r="G59" s="4" t="s">
        <v>89</v>
      </c>
      <c r="H59" s="4" t="s">
        <v>170</v>
      </c>
      <c r="I59" s="4" t="s">
        <v>154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16245</v>
      </c>
      <c r="BC59" s="4">
        <v>20000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f>SUM(J59:BK59)</f>
        <v>36245</v>
      </c>
      <c r="BM59" s="4">
        <v>12000</v>
      </c>
      <c r="BN59" s="4">
        <v>0</v>
      </c>
      <c r="BO59" s="4">
        <v>3000</v>
      </c>
      <c r="BP59" s="4">
        <v>0</v>
      </c>
      <c r="BQ59" s="4">
        <v>0</v>
      </c>
      <c r="BR59" s="4"/>
      <c r="BT59" s="1" t="s">
        <v>171</v>
      </c>
    </row>
    <row r="60" spans="1:72" x14ac:dyDescent="0.35">
      <c r="B60" s="1" t="s">
        <v>169</v>
      </c>
      <c r="C60" s="1" t="s">
        <v>93</v>
      </c>
      <c r="H60" s="4" t="s">
        <v>172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T60" s="1" t="s">
        <v>171</v>
      </c>
    </row>
    <row r="61" spans="1:72" ht="15" thickBot="1" x14ac:dyDescent="0.4">
      <c r="B61" s="1" t="s">
        <v>169</v>
      </c>
      <c r="C61" s="1" t="s">
        <v>95</v>
      </c>
      <c r="J61" s="1">
        <f>J60-J59</f>
        <v>0</v>
      </c>
      <c r="K61" s="1">
        <f t="shared" ref="K61:AP61" si="34">K60-K59+J61</f>
        <v>0</v>
      </c>
      <c r="L61" s="1">
        <f t="shared" si="34"/>
        <v>0</v>
      </c>
      <c r="M61" s="1">
        <f t="shared" si="34"/>
        <v>0</v>
      </c>
      <c r="N61" s="1">
        <f t="shared" si="34"/>
        <v>0</v>
      </c>
      <c r="O61" s="1">
        <f t="shared" si="34"/>
        <v>0</v>
      </c>
      <c r="P61" s="1">
        <f t="shared" si="34"/>
        <v>0</v>
      </c>
      <c r="Q61" s="1">
        <f t="shared" si="34"/>
        <v>0</v>
      </c>
      <c r="R61" s="1">
        <f t="shared" si="34"/>
        <v>0</v>
      </c>
      <c r="S61" s="1">
        <f t="shared" si="34"/>
        <v>0</v>
      </c>
      <c r="T61" s="1">
        <f t="shared" si="34"/>
        <v>0</v>
      </c>
      <c r="U61" s="1">
        <f t="shared" si="34"/>
        <v>0</v>
      </c>
      <c r="V61" s="1">
        <f t="shared" si="34"/>
        <v>0</v>
      </c>
      <c r="W61" s="1">
        <f t="shared" si="34"/>
        <v>0</v>
      </c>
      <c r="X61" s="1">
        <f t="shared" si="34"/>
        <v>0</v>
      </c>
      <c r="Y61" s="1">
        <f t="shared" si="34"/>
        <v>0</v>
      </c>
      <c r="Z61" s="1">
        <f t="shared" si="34"/>
        <v>0</v>
      </c>
      <c r="AA61" s="1">
        <f t="shared" si="34"/>
        <v>0</v>
      </c>
      <c r="AB61" s="1">
        <f t="shared" si="34"/>
        <v>0</v>
      </c>
      <c r="AC61" s="1">
        <f t="shared" si="34"/>
        <v>0</v>
      </c>
      <c r="AD61" s="1">
        <f t="shared" si="34"/>
        <v>0</v>
      </c>
      <c r="AE61" s="1">
        <f t="shared" si="34"/>
        <v>0</v>
      </c>
      <c r="AF61" s="1">
        <f t="shared" si="34"/>
        <v>0</v>
      </c>
      <c r="AG61" s="1">
        <f t="shared" si="34"/>
        <v>0</v>
      </c>
      <c r="AH61" s="1">
        <f t="shared" si="34"/>
        <v>0</v>
      </c>
      <c r="AI61" s="1">
        <f t="shared" si="34"/>
        <v>0</v>
      </c>
      <c r="AJ61" s="1">
        <f t="shared" si="34"/>
        <v>0</v>
      </c>
      <c r="AK61" s="1">
        <f t="shared" si="34"/>
        <v>0</v>
      </c>
      <c r="AL61" s="1">
        <f t="shared" si="34"/>
        <v>0</v>
      </c>
      <c r="AM61" s="1">
        <f t="shared" si="34"/>
        <v>0</v>
      </c>
      <c r="AN61" s="1">
        <f t="shared" si="34"/>
        <v>0</v>
      </c>
      <c r="AO61" s="1">
        <f t="shared" si="34"/>
        <v>0</v>
      </c>
      <c r="AP61" s="1">
        <f t="shared" si="34"/>
        <v>0</v>
      </c>
      <c r="AQ61" s="1">
        <f t="shared" ref="AQ61:BJ61" si="35">AQ60-AQ59+AP61</f>
        <v>0</v>
      </c>
      <c r="AR61" s="1">
        <f t="shared" si="35"/>
        <v>0</v>
      </c>
      <c r="AS61" s="1">
        <f t="shared" si="35"/>
        <v>0</v>
      </c>
      <c r="AT61" s="1">
        <f t="shared" si="35"/>
        <v>0</v>
      </c>
      <c r="AU61" s="1">
        <f t="shared" si="35"/>
        <v>0</v>
      </c>
      <c r="AV61" s="1">
        <f t="shared" si="35"/>
        <v>0</v>
      </c>
      <c r="AW61" s="1">
        <f t="shared" si="35"/>
        <v>0</v>
      </c>
      <c r="AX61" s="1">
        <f t="shared" si="35"/>
        <v>0</v>
      </c>
      <c r="AY61" s="1">
        <f t="shared" si="35"/>
        <v>0</v>
      </c>
      <c r="AZ61" s="1">
        <f t="shared" si="35"/>
        <v>0</v>
      </c>
      <c r="BA61" s="1">
        <f t="shared" si="35"/>
        <v>0</v>
      </c>
      <c r="BB61" s="1">
        <f t="shared" si="35"/>
        <v>-16245</v>
      </c>
      <c r="BC61" s="1">
        <f t="shared" si="35"/>
        <v>-36245</v>
      </c>
      <c r="BD61" s="1">
        <f t="shared" si="35"/>
        <v>-36245</v>
      </c>
      <c r="BE61" s="1">
        <f t="shared" si="35"/>
        <v>-36245</v>
      </c>
      <c r="BF61" s="1">
        <f t="shared" si="35"/>
        <v>-36245</v>
      </c>
      <c r="BG61" s="1">
        <f t="shared" si="35"/>
        <v>-36245</v>
      </c>
      <c r="BH61" s="1">
        <f t="shared" si="35"/>
        <v>-36245</v>
      </c>
      <c r="BI61" s="1">
        <f t="shared" si="35"/>
        <v>-36245</v>
      </c>
      <c r="BJ61" s="1">
        <f t="shared" si="35"/>
        <v>-36245</v>
      </c>
      <c r="BT61" s="1" t="s">
        <v>171</v>
      </c>
    </row>
    <row r="62" spans="1:72" ht="15" thickBot="1" x14ac:dyDescent="0.4">
      <c r="A62" s="1" t="s">
        <v>85</v>
      </c>
      <c r="B62" s="4" t="s">
        <v>173</v>
      </c>
      <c r="C62" s="4" t="s">
        <v>87</v>
      </c>
      <c r="D62" s="4" t="s">
        <v>88</v>
      </c>
      <c r="E62" s="4"/>
      <c r="F62" s="4"/>
      <c r="G62" s="4" t="s">
        <v>89</v>
      </c>
      <c r="H62" s="4" t="s">
        <v>174</v>
      </c>
      <c r="I62" s="4" t="s">
        <v>154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162</v>
      </c>
      <c r="AG62" s="4">
        <v>0</v>
      </c>
      <c r="AH62" s="4">
        <v>0</v>
      </c>
      <c r="AI62" s="4">
        <v>0</v>
      </c>
      <c r="AJ62" s="4">
        <v>2106</v>
      </c>
      <c r="AK62" s="4">
        <v>0</v>
      </c>
      <c r="AL62" s="4">
        <v>0</v>
      </c>
      <c r="AM62" s="4">
        <v>2097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2097</v>
      </c>
      <c r="AT62" s="4">
        <v>0</v>
      </c>
      <c r="AU62" s="4">
        <v>0</v>
      </c>
      <c r="AV62" s="4">
        <v>0</v>
      </c>
      <c r="AW62" s="4">
        <v>2106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f>SUM(J62:BK62)</f>
        <v>8568</v>
      </c>
      <c r="BM62" s="4">
        <v>3600</v>
      </c>
      <c r="BN62" s="4">
        <v>0</v>
      </c>
      <c r="BO62" s="4">
        <v>1800</v>
      </c>
      <c r="BP62" s="4">
        <v>0</v>
      </c>
      <c r="BQ62" s="4">
        <v>0</v>
      </c>
      <c r="BR62" s="4"/>
      <c r="BT62" s="1" t="s">
        <v>175</v>
      </c>
    </row>
    <row r="63" spans="1:72" x14ac:dyDescent="0.35">
      <c r="B63" s="1" t="s">
        <v>173</v>
      </c>
      <c r="C63" s="1" t="s">
        <v>93</v>
      </c>
      <c r="H63" s="4" t="s">
        <v>176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T63" s="1" t="s">
        <v>175</v>
      </c>
    </row>
    <row r="64" spans="1:72" ht="15" thickBot="1" x14ac:dyDescent="0.4">
      <c r="B64" s="1" t="s">
        <v>173</v>
      </c>
      <c r="C64" s="1" t="s">
        <v>95</v>
      </c>
      <c r="J64" s="1">
        <f>J63-J62</f>
        <v>0</v>
      </c>
      <c r="K64" s="1">
        <f t="shared" ref="K64:AP64" si="36">K63-K62+J64</f>
        <v>0</v>
      </c>
      <c r="L64" s="1">
        <f t="shared" si="36"/>
        <v>0</v>
      </c>
      <c r="M64" s="1">
        <f t="shared" si="36"/>
        <v>0</v>
      </c>
      <c r="N64" s="1">
        <f t="shared" si="36"/>
        <v>0</v>
      </c>
      <c r="O64" s="1">
        <f t="shared" si="36"/>
        <v>0</v>
      </c>
      <c r="P64" s="1">
        <f t="shared" si="36"/>
        <v>0</v>
      </c>
      <c r="Q64" s="1">
        <f t="shared" si="36"/>
        <v>0</v>
      </c>
      <c r="R64" s="1">
        <f t="shared" si="36"/>
        <v>0</v>
      </c>
      <c r="S64" s="1">
        <f t="shared" si="36"/>
        <v>0</v>
      </c>
      <c r="T64" s="1">
        <f t="shared" si="36"/>
        <v>0</v>
      </c>
      <c r="U64" s="1">
        <f t="shared" si="36"/>
        <v>0</v>
      </c>
      <c r="V64" s="1">
        <f t="shared" si="36"/>
        <v>0</v>
      </c>
      <c r="W64" s="1">
        <f t="shared" si="36"/>
        <v>0</v>
      </c>
      <c r="X64" s="1">
        <f t="shared" si="36"/>
        <v>0</v>
      </c>
      <c r="Y64" s="1">
        <f t="shared" si="36"/>
        <v>0</v>
      </c>
      <c r="Z64" s="1">
        <f t="shared" si="36"/>
        <v>0</v>
      </c>
      <c r="AA64" s="1">
        <f t="shared" si="36"/>
        <v>0</v>
      </c>
      <c r="AB64" s="1">
        <f t="shared" si="36"/>
        <v>0</v>
      </c>
      <c r="AC64" s="1">
        <f t="shared" si="36"/>
        <v>0</v>
      </c>
      <c r="AD64" s="1">
        <f t="shared" si="36"/>
        <v>0</v>
      </c>
      <c r="AE64" s="1">
        <f t="shared" si="36"/>
        <v>0</v>
      </c>
      <c r="AF64" s="1">
        <f t="shared" si="36"/>
        <v>-162</v>
      </c>
      <c r="AG64" s="1">
        <f t="shared" si="36"/>
        <v>-162</v>
      </c>
      <c r="AH64" s="1">
        <f t="shared" si="36"/>
        <v>-162</v>
      </c>
      <c r="AI64" s="1">
        <f t="shared" si="36"/>
        <v>-162</v>
      </c>
      <c r="AJ64" s="1">
        <f t="shared" si="36"/>
        <v>-2268</v>
      </c>
      <c r="AK64" s="1">
        <f t="shared" si="36"/>
        <v>-2268</v>
      </c>
      <c r="AL64" s="1">
        <f t="shared" si="36"/>
        <v>-2268</v>
      </c>
      <c r="AM64" s="1">
        <f t="shared" si="36"/>
        <v>-4365</v>
      </c>
      <c r="AN64" s="1">
        <f t="shared" si="36"/>
        <v>-4365</v>
      </c>
      <c r="AO64" s="1">
        <f t="shared" si="36"/>
        <v>-4365</v>
      </c>
      <c r="AP64" s="1">
        <f t="shared" si="36"/>
        <v>-4365</v>
      </c>
      <c r="AQ64" s="1">
        <f t="shared" ref="AQ64:BJ64" si="37">AQ63-AQ62+AP64</f>
        <v>-4365</v>
      </c>
      <c r="AR64" s="1">
        <f t="shared" si="37"/>
        <v>-4365</v>
      </c>
      <c r="AS64" s="1">
        <f t="shared" si="37"/>
        <v>-6462</v>
      </c>
      <c r="AT64" s="1">
        <f t="shared" si="37"/>
        <v>-6462</v>
      </c>
      <c r="AU64" s="1">
        <f t="shared" si="37"/>
        <v>-6462</v>
      </c>
      <c r="AV64" s="1">
        <f t="shared" si="37"/>
        <v>-6462</v>
      </c>
      <c r="AW64" s="1">
        <f t="shared" si="37"/>
        <v>-8568</v>
      </c>
      <c r="AX64" s="1">
        <f t="shared" si="37"/>
        <v>-8568</v>
      </c>
      <c r="AY64" s="1">
        <f t="shared" si="37"/>
        <v>-8568</v>
      </c>
      <c r="AZ64" s="1">
        <f t="shared" si="37"/>
        <v>-8568</v>
      </c>
      <c r="BA64" s="1">
        <f t="shared" si="37"/>
        <v>-8568</v>
      </c>
      <c r="BB64" s="1">
        <f t="shared" si="37"/>
        <v>-8568</v>
      </c>
      <c r="BC64" s="1">
        <f t="shared" si="37"/>
        <v>-8568</v>
      </c>
      <c r="BD64" s="1">
        <f t="shared" si="37"/>
        <v>-8568</v>
      </c>
      <c r="BE64" s="1">
        <f t="shared" si="37"/>
        <v>-8568</v>
      </c>
      <c r="BF64" s="1">
        <f t="shared" si="37"/>
        <v>-8568</v>
      </c>
      <c r="BG64" s="1">
        <f t="shared" si="37"/>
        <v>-8568</v>
      </c>
      <c r="BH64" s="1">
        <f t="shared" si="37"/>
        <v>-8568</v>
      </c>
      <c r="BI64" s="1">
        <f t="shared" si="37"/>
        <v>-8568</v>
      </c>
      <c r="BJ64" s="1">
        <f t="shared" si="37"/>
        <v>-8568</v>
      </c>
      <c r="BT64" s="1" t="s">
        <v>175</v>
      </c>
    </row>
    <row r="65" spans="1:72" ht="15" thickBot="1" x14ac:dyDescent="0.4">
      <c r="A65" s="1" t="s">
        <v>85</v>
      </c>
      <c r="B65" s="4" t="s">
        <v>177</v>
      </c>
      <c r="C65" s="4" t="s">
        <v>87</v>
      </c>
      <c r="D65" s="4" t="s">
        <v>88</v>
      </c>
      <c r="E65" s="4"/>
      <c r="F65" s="4"/>
      <c r="G65" s="4" t="s">
        <v>89</v>
      </c>
      <c r="H65" s="4" t="s">
        <v>178</v>
      </c>
      <c r="I65" s="4" t="s">
        <v>179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475</v>
      </c>
      <c r="S65" s="4">
        <v>1000</v>
      </c>
      <c r="T65" s="4">
        <v>0</v>
      </c>
      <c r="U65" s="4">
        <v>0</v>
      </c>
      <c r="V65" s="4">
        <v>3049</v>
      </c>
      <c r="W65" s="4">
        <v>0</v>
      </c>
      <c r="X65" s="4">
        <v>0</v>
      </c>
      <c r="Y65" s="4">
        <v>0</v>
      </c>
      <c r="Z65" s="4">
        <v>0</v>
      </c>
      <c r="AA65" s="4">
        <v>1000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2582</v>
      </c>
      <c r="AH65" s="4">
        <v>0</v>
      </c>
      <c r="AI65" s="4">
        <v>0</v>
      </c>
      <c r="AJ65" s="4">
        <v>1000</v>
      </c>
      <c r="AK65" s="4">
        <v>0</v>
      </c>
      <c r="AL65" s="4">
        <v>0</v>
      </c>
      <c r="AM65" s="4">
        <v>0</v>
      </c>
      <c r="AN65" s="4">
        <v>0</v>
      </c>
      <c r="AO65" s="4">
        <v>2436</v>
      </c>
      <c r="AP65" s="4">
        <v>0</v>
      </c>
      <c r="AQ65" s="4">
        <v>0</v>
      </c>
      <c r="AR65" s="4">
        <v>0</v>
      </c>
      <c r="AS65" s="4">
        <v>1000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f>SUM(J65:BK65)</f>
        <v>12542</v>
      </c>
      <c r="BM65" s="4">
        <v>15000</v>
      </c>
      <c r="BN65" s="4">
        <v>0</v>
      </c>
      <c r="BO65" s="4">
        <v>3000</v>
      </c>
      <c r="BP65" s="4">
        <v>0</v>
      </c>
      <c r="BQ65" s="4">
        <v>0</v>
      </c>
      <c r="BR65" s="4"/>
      <c r="BT65" s="1" t="s">
        <v>180</v>
      </c>
    </row>
    <row r="66" spans="1:72" x14ac:dyDescent="0.35">
      <c r="B66" s="1" t="s">
        <v>177</v>
      </c>
      <c r="C66" s="1" t="s">
        <v>93</v>
      </c>
      <c r="H66" s="4" t="s">
        <v>181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T66" s="1" t="s">
        <v>180</v>
      </c>
    </row>
    <row r="67" spans="1:72" ht="15" thickBot="1" x14ac:dyDescent="0.4">
      <c r="B67" s="1" t="s">
        <v>177</v>
      </c>
      <c r="C67" s="1" t="s">
        <v>95</v>
      </c>
      <c r="J67" s="1">
        <f>J66-J65</f>
        <v>0</v>
      </c>
      <c r="K67" s="1">
        <f t="shared" ref="K67:AP67" si="38">K66-K65+J67</f>
        <v>0</v>
      </c>
      <c r="L67" s="1">
        <f t="shared" si="38"/>
        <v>0</v>
      </c>
      <c r="M67" s="1">
        <f t="shared" si="38"/>
        <v>0</v>
      </c>
      <c r="N67" s="1">
        <f t="shared" si="38"/>
        <v>0</v>
      </c>
      <c r="O67" s="1">
        <f t="shared" si="38"/>
        <v>0</v>
      </c>
      <c r="P67" s="1">
        <f t="shared" si="38"/>
        <v>0</v>
      </c>
      <c r="Q67" s="1">
        <f t="shared" si="38"/>
        <v>0</v>
      </c>
      <c r="R67" s="1">
        <f t="shared" si="38"/>
        <v>-475</v>
      </c>
      <c r="S67" s="1">
        <f t="shared" si="38"/>
        <v>-1475</v>
      </c>
      <c r="T67" s="1">
        <f t="shared" si="38"/>
        <v>-1475</v>
      </c>
      <c r="U67" s="1">
        <f t="shared" si="38"/>
        <v>-1475</v>
      </c>
      <c r="V67" s="1">
        <f t="shared" si="38"/>
        <v>-4524</v>
      </c>
      <c r="W67" s="1">
        <f t="shared" si="38"/>
        <v>-4524</v>
      </c>
      <c r="X67" s="1">
        <f t="shared" si="38"/>
        <v>-4524</v>
      </c>
      <c r="Y67" s="1">
        <f t="shared" si="38"/>
        <v>-4524</v>
      </c>
      <c r="Z67" s="1">
        <f t="shared" si="38"/>
        <v>-4524</v>
      </c>
      <c r="AA67" s="1">
        <f t="shared" si="38"/>
        <v>-5524</v>
      </c>
      <c r="AB67" s="1">
        <f t="shared" si="38"/>
        <v>-5524</v>
      </c>
      <c r="AC67" s="1">
        <f t="shared" si="38"/>
        <v>-5524</v>
      </c>
      <c r="AD67" s="1">
        <f t="shared" si="38"/>
        <v>-5524</v>
      </c>
      <c r="AE67" s="1">
        <f t="shared" si="38"/>
        <v>-5524</v>
      </c>
      <c r="AF67" s="1">
        <f t="shared" si="38"/>
        <v>-5524</v>
      </c>
      <c r="AG67" s="1">
        <f t="shared" si="38"/>
        <v>-8106</v>
      </c>
      <c r="AH67" s="1">
        <f t="shared" si="38"/>
        <v>-8106</v>
      </c>
      <c r="AI67" s="1">
        <f t="shared" si="38"/>
        <v>-8106</v>
      </c>
      <c r="AJ67" s="1">
        <f t="shared" si="38"/>
        <v>-9106</v>
      </c>
      <c r="AK67" s="1">
        <f t="shared" si="38"/>
        <v>-9106</v>
      </c>
      <c r="AL67" s="1">
        <f t="shared" si="38"/>
        <v>-9106</v>
      </c>
      <c r="AM67" s="1">
        <f t="shared" si="38"/>
        <v>-9106</v>
      </c>
      <c r="AN67" s="1">
        <f t="shared" si="38"/>
        <v>-9106</v>
      </c>
      <c r="AO67" s="1">
        <f t="shared" si="38"/>
        <v>-11542</v>
      </c>
      <c r="AP67" s="1">
        <f t="shared" si="38"/>
        <v>-11542</v>
      </c>
      <c r="AQ67" s="1">
        <f t="shared" ref="AQ67:BJ67" si="39">AQ66-AQ65+AP67</f>
        <v>-11542</v>
      </c>
      <c r="AR67" s="1">
        <f t="shared" si="39"/>
        <v>-11542</v>
      </c>
      <c r="AS67" s="1">
        <f t="shared" si="39"/>
        <v>-12542</v>
      </c>
      <c r="AT67" s="1">
        <f t="shared" si="39"/>
        <v>-12542</v>
      </c>
      <c r="AU67" s="1">
        <f t="shared" si="39"/>
        <v>-12542</v>
      </c>
      <c r="AV67" s="1">
        <f t="shared" si="39"/>
        <v>-12542</v>
      </c>
      <c r="AW67" s="1">
        <f t="shared" si="39"/>
        <v>-12542</v>
      </c>
      <c r="AX67" s="1">
        <f t="shared" si="39"/>
        <v>-12542</v>
      </c>
      <c r="AY67" s="1">
        <f t="shared" si="39"/>
        <v>-12542</v>
      </c>
      <c r="AZ67" s="1">
        <f t="shared" si="39"/>
        <v>-12542</v>
      </c>
      <c r="BA67" s="1">
        <f t="shared" si="39"/>
        <v>-12542</v>
      </c>
      <c r="BB67" s="1">
        <f t="shared" si="39"/>
        <v>-12542</v>
      </c>
      <c r="BC67" s="1">
        <f t="shared" si="39"/>
        <v>-12542</v>
      </c>
      <c r="BD67" s="1">
        <f t="shared" si="39"/>
        <v>-12542</v>
      </c>
      <c r="BE67" s="1">
        <f t="shared" si="39"/>
        <v>-12542</v>
      </c>
      <c r="BF67" s="1">
        <f t="shared" si="39"/>
        <v>-12542</v>
      </c>
      <c r="BG67" s="1">
        <f t="shared" si="39"/>
        <v>-12542</v>
      </c>
      <c r="BH67" s="1">
        <f t="shared" si="39"/>
        <v>-12542</v>
      </c>
      <c r="BI67" s="1">
        <f t="shared" si="39"/>
        <v>-12542</v>
      </c>
      <c r="BJ67" s="1">
        <f t="shared" si="39"/>
        <v>-12542</v>
      </c>
      <c r="BT67" s="1" t="s">
        <v>180</v>
      </c>
    </row>
    <row r="68" spans="1:72" ht="15" thickBot="1" x14ac:dyDescent="0.4">
      <c r="A68" s="1" t="s">
        <v>85</v>
      </c>
      <c r="B68" s="4" t="s">
        <v>182</v>
      </c>
      <c r="C68" s="4" t="s">
        <v>87</v>
      </c>
      <c r="D68" s="4" t="s">
        <v>88</v>
      </c>
      <c r="E68" s="4"/>
      <c r="F68" s="4"/>
      <c r="G68" s="4" t="s">
        <v>89</v>
      </c>
      <c r="H68" s="4" t="s">
        <v>183</v>
      </c>
      <c r="I68" s="4" t="s">
        <v>184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6563</v>
      </c>
      <c r="W68" s="4">
        <v>1440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f>SUM(J68:BK68)</f>
        <v>8003</v>
      </c>
      <c r="BM68" s="4">
        <v>9000</v>
      </c>
      <c r="BN68" s="4">
        <v>0</v>
      </c>
      <c r="BO68" s="4">
        <v>3000</v>
      </c>
      <c r="BP68" s="4">
        <v>0</v>
      </c>
      <c r="BQ68" s="4">
        <v>0</v>
      </c>
      <c r="BR68" s="4"/>
      <c r="BT68" s="1" t="s">
        <v>185</v>
      </c>
    </row>
    <row r="69" spans="1:72" x14ac:dyDescent="0.35">
      <c r="B69" s="1" t="s">
        <v>182</v>
      </c>
      <c r="C69" s="1" t="s">
        <v>93</v>
      </c>
      <c r="H69" s="4" t="s">
        <v>186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T69" s="1" t="s">
        <v>185</v>
      </c>
    </row>
    <row r="70" spans="1:72" ht="15" thickBot="1" x14ac:dyDescent="0.4">
      <c r="B70" s="1" t="s">
        <v>182</v>
      </c>
      <c r="C70" s="1" t="s">
        <v>95</v>
      </c>
      <c r="J70" s="1">
        <f>J69-J68</f>
        <v>0</v>
      </c>
      <c r="K70" s="1">
        <f t="shared" ref="K70:AP70" si="40">K69-K68+J70</f>
        <v>0</v>
      </c>
      <c r="L70" s="1">
        <f t="shared" si="40"/>
        <v>0</v>
      </c>
      <c r="M70" s="1">
        <f t="shared" si="40"/>
        <v>0</v>
      </c>
      <c r="N70" s="1">
        <f t="shared" si="40"/>
        <v>0</v>
      </c>
      <c r="O70" s="1">
        <f t="shared" si="40"/>
        <v>0</v>
      </c>
      <c r="P70" s="1">
        <f t="shared" si="40"/>
        <v>0</v>
      </c>
      <c r="Q70" s="1">
        <f t="shared" si="40"/>
        <v>0</v>
      </c>
      <c r="R70" s="1">
        <f t="shared" si="40"/>
        <v>0</v>
      </c>
      <c r="S70" s="1">
        <f t="shared" si="40"/>
        <v>0</v>
      </c>
      <c r="T70" s="1">
        <f t="shared" si="40"/>
        <v>0</v>
      </c>
      <c r="U70" s="1">
        <f t="shared" si="40"/>
        <v>0</v>
      </c>
      <c r="V70" s="1">
        <f t="shared" si="40"/>
        <v>-6563</v>
      </c>
      <c r="W70" s="1">
        <f t="shared" si="40"/>
        <v>-8003</v>
      </c>
      <c r="X70" s="1">
        <f t="shared" si="40"/>
        <v>-8003</v>
      </c>
      <c r="Y70" s="1">
        <f t="shared" si="40"/>
        <v>-8003</v>
      </c>
      <c r="Z70" s="1">
        <f t="shared" si="40"/>
        <v>-8003</v>
      </c>
      <c r="AA70" s="1">
        <f t="shared" si="40"/>
        <v>-8003</v>
      </c>
      <c r="AB70" s="1">
        <f t="shared" si="40"/>
        <v>-8003</v>
      </c>
      <c r="AC70" s="1">
        <f t="shared" si="40"/>
        <v>-8003</v>
      </c>
      <c r="AD70" s="1">
        <f t="shared" si="40"/>
        <v>-8003</v>
      </c>
      <c r="AE70" s="1">
        <f t="shared" si="40"/>
        <v>-8003</v>
      </c>
      <c r="AF70" s="1">
        <f t="shared" si="40"/>
        <v>-8003</v>
      </c>
      <c r="AG70" s="1">
        <f t="shared" si="40"/>
        <v>-8003</v>
      </c>
      <c r="AH70" s="1">
        <f t="shared" si="40"/>
        <v>-8003</v>
      </c>
      <c r="AI70" s="1">
        <f t="shared" si="40"/>
        <v>-8003</v>
      </c>
      <c r="AJ70" s="1">
        <f t="shared" si="40"/>
        <v>-8003</v>
      </c>
      <c r="AK70" s="1">
        <f t="shared" si="40"/>
        <v>-8003</v>
      </c>
      <c r="AL70" s="1">
        <f t="shared" si="40"/>
        <v>-8003</v>
      </c>
      <c r="AM70" s="1">
        <f t="shared" si="40"/>
        <v>-8003</v>
      </c>
      <c r="AN70" s="1">
        <f t="shared" si="40"/>
        <v>-8003</v>
      </c>
      <c r="AO70" s="1">
        <f t="shared" si="40"/>
        <v>-8003</v>
      </c>
      <c r="AP70" s="1">
        <f t="shared" si="40"/>
        <v>-8003</v>
      </c>
      <c r="AQ70" s="1">
        <f t="shared" ref="AQ70:BJ70" si="41">AQ69-AQ68+AP70</f>
        <v>-8003</v>
      </c>
      <c r="AR70" s="1">
        <f t="shared" si="41"/>
        <v>-8003</v>
      </c>
      <c r="AS70" s="1">
        <f t="shared" si="41"/>
        <v>-8003</v>
      </c>
      <c r="AT70" s="1">
        <f t="shared" si="41"/>
        <v>-8003</v>
      </c>
      <c r="AU70" s="1">
        <f t="shared" si="41"/>
        <v>-8003</v>
      </c>
      <c r="AV70" s="1">
        <f t="shared" si="41"/>
        <v>-8003</v>
      </c>
      <c r="AW70" s="1">
        <f t="shared" si="41"/>
        <v>-8003</v>
      </c>
      <c r="AX70" s="1">
        <f t="shared" si="41"/>
        <v>-8003</v>
      </c>
      <c r="AY70" s="1">
        <f t="shared" si="41"/>
        <v>-8003</v>
      </c>
      <c r="AZ70" s="1">
        <f t="shared" si="41"/>
        <v>-8003</v>
      </c>
      <c r="BA70" s="1">
        <f t="shared" si="41"/>
        <v>-8003</v>
      </c>
      <c r="BB70" s="1">
        <f t="shared" si="41"/>
        <v>-8003</v>
      </c>
      <c r="BC70" s="1">
        <f t="shared" si="41"/>
        <v>-8003</v>
      </c>
      <c r="BD70" s="1">
        <f t="shared" si="41"/>
        <v>-8003</v>
      </c>
      <c r="BE70" s="1">
        <f t="shared" si="41"/>
        <v>-8003</v>
      </c>
      <c r="BF70" s="1">
        <f t="shared" si="41"/>
        <v>-8003</v>
      </c>
      <c r="BG70" s="1">
        <f t="shared" si="41"/>
        <v>-8003</v>
      </c>
      <c r="BH70" s="1">
        <f t="shared" si="41"/>
        <v>-8003</v>
      </c>
      <c r="BI70" s="1">
        <f t="shared" si="41"/>
        <v>-8003</v>
      </c>
      <c r="BJ70" s="1">
        <f t="shared" si="41"/>
        <v>-8003</v>
      </c>
      <c r="BT70" s="1" t="s">
        <v>185</v>
      </c>
    </row>
    <row r="71" spans="1:72" ht="15" thickBot="1" x14ac:dyDescent="0.4">
      <c r="A71" s="1" t="s">
        <v>85</v>
      </c>
      <c r="B71" s="4" t="s">
        <v>187</v>
      </c>
      <c r="C71" s="4" t="s">
        <v>87</v>
      </c>
      <c r="D71" s="4" t="s">
        <v>88</v>
      </c>
      <c r="E71" s="4"/>
      <c r="F71" s="4"/>
      <c r="G71" s="4" t="s">
        <v>89</v>
      </c>
      <c r="H71" s="4" t="s">
        <v>188</v>
      </c>
      <c r="I71" s="4" t="s">
        <v>98</v>
      </c>
      <c r="J71" s="4">
        <v>0</v>
      </c>
      <c r="K71" s="4">
        <v>0</v>
      </c>
      <c r="L71" s="4">
        <v>0</v>
      </c>
      <c r="M71" s="4">
        <v>47953</v>
      </c>
      <c r="N71" s="4">
        <v>72913</v>
      </c>
      <c r="O71" s="4">
        <v>61272</v>
      </c>
      <c r="P71" s="4">
        <v>21600</v>
      </c>
      <c r="Q71" s="4">
        <v>90620</v>
      </c>
      <c r="R71" s="4">
        <v>3600</v>
      </c>
      <c r="S71" s="4">
        <v>0</v>
      </c>
      <c r="T71" s="4">
        <v>0</v>
      </c>
      <c r="U71" s="4">
        <v>9342</v>
      </c>
      <c r="V71" s="4">
        <v>80200</v>
      </c>
      <c r="W71" s="4">
        <v>0</v>
      </c>
      <c r="X71" s="4">
        <v>0</v>
      </c>
      <c r="Y71" s="4">
        <v>0</v>
      </c>
      <c r="Z71" s="4">
        <v>72070</v>
      </c>
      <c r="AA71" s="4">
        <v>22</v>
      </c>
      <c r="AB71" s="4">
        <v>22</v>
      </c>
      <c r="AC71" s="4">
        <v>22</v>
      </c>
      <c r="AD71" s="4">
        <v>16422</v>
      </c>
      <c r="AE71" s="4">
        <v>54621</v>
      </c>
      <c r="AF71" s="4">
        <v>1887</v>
      </c>
      <c r="AG71" s="4">
        <v>87</v>
      </c>
      <c r="AH71" s="4">
        <v>87</v>
      </c>
      <c r="AI71" s="4">
        <v>72126</v>
      </c>
      <c r="AJ71" s="4">
        <v>1035</v>
      </c>
      <c r="AK71" s="4">
        <v>135</v>
      </c>
      <c r="AL71" s="4">
        <v>108</v>
      </c>
      <c r="AM71" s="4">
        <v>71508</v>
      </c>
      <c r="AN71" s="4">
        <v>108</v>
      </c>
      <c r="AO71" s="4">
        <v>135</v>
      </c>
      <c r="AP71" s="4">
        <v>135</v>
      </c>
      <c r="AQ71" s="4">
        <v>3708</v>
      </c>
      <c r="AR71" s="4">
        <v>68530</v>
      </c>
      <c r="AS71" s="4">
        <v>130</v>
      </c>
      <c r="AT71" s="4">
        <v>130</v>
      </c>
      <c r="AU71" s="4">
        <v>130</v>
      </c>
      <c r="AV71" s="4">
        <v>54126</v>
      </c>
      <c r="AW71" s="4">
        <v>845</v>
      </c>
      <c r="AX71" s="4">
        <v>125</v>
      </c>
      <c r="AY71" s="4">
        <v>9099</v>
      </c>
      <c r="AZ71" s="4">
        <v>52299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f>SUM(J71:BK71)</f>
        <v>867152</v>
      </c>
      <c r="BM71" s="4">
        <v>640000</v>
      </c>
      <c r="BN71" s="4">
        <v>0</v>
      </c>
      <c r="BO71" s="4">
        <v>5000</v>
      </c>
      <c r="BP71" s="4">
        <v>0</v>
      </c>
      <c r="BQ71" s="4">
        <v>0</v>
      </c>
      <c r="BR71" s="4"/>
      <c r="BT71" s="1" t="s">
        <v>189</v>
      </c>
    </row>
    <row r="72" spans="1:72" x14ac:dyDescent="0.35">
      <c r="B72" s="1" t="s">
        <v>187</v>
      </c>
      <c r="C72" s="1" t="s">
        <v>93</v>
      </c>
      <c r="H72" s="4" t="s">
        <v>190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T72" s="1" t="s">
        <v>189</v>
      </c>
    </row>
    <row r="73" spans="1:72" ht="15" thickBot="1" x14ac:dyDescent="0.4">
      <c r="B73" s="1" t="s">
        <v>187</v>
      </c>
      <c r="C73" s="1" t="s">
        <v>95</v>
      </c>
      <c r="J73" s="1">
        <f>J72-J71</f>
        <v>0</v>
      </c>
      <c r="K73" s="1">
        <f t="shared" ref="K73:AP73" si="42">K72-K71+J73</f>
        <v>0</v>
      </c>
      <c r="L73" s="1">
        <f t="shared" si="42"/>
        <v>0</v>
      </c>
      <c r="M73" s="1">
        <f t="shared" si="42"/>
        <v>-47953</v>
      </c>
      <c r="N73" s="1">
        <f t="shared" si="42"/>
        <v>-120866</v>
      </c>
      <c r="O73" s="1">
        <f t="shared" si="42"/>
        <v>-182138</v>
      </c>
      <c r="P73" s="1">
        <f t="shared" si="42"/>
        <v>-203738</v>
      </c>
      <c r="Q73" s="1">
        <f t="shared" si="42"/>
        <v>-294358</v>
      </c>
      <c r="R73" s="1">
        <f t="shared" si="42"/>
        <v>-297958</v>
      </c>
      <c r="S73" s="1">
        <f t="shared" si="42"/>
        <v>-297958</v>
      </c>
      <c r="T73" s="1">
        <f t="shared" si="42"/>
        <v>-297958</v>
      </c>
      <c r="U73" s="1">
        <f t="shared" si="42"/>
        <v>-307300</v>
      </c>
      <c r="V73" s="1">
        <f t="shared" si="42"/>
        <v>-387500</v>
      </c>
      <c r="W73" s="1">
        <f t="shared" si="42"/>
        <v>-387500</v>
      </c>
      <c r="X73" s="1">
        <f t="shared" si="42"/>
        <v>-387500</v>
      </c>
      <c r="Y73" s="1">
        <f t="shared" si="42"/>
        <v>-387500</v>
      </c>
      <c r="Z73" s="1">
        <f t="shared" si="42"/>
        <v>-459570</v>
      </c>
      <c r="AA73" s="1">
        <f t="shared" si="42"/>
        <v>-459592</v>
      </c>
      <c r="AB73" s="1">
        <f t="shared" si="42"/>
        <v>-459614</v>
      </c>
      <c r="AC73" s="1">
        <f t="shared" si="42"/>
        <v>-459636</v>
      </c>
      <c r="AD73" s="1">
        <f t="shared" si="42"/>
        <v>-476058</v>
      </c>
      <c r="AE73" s="1">
        <f t="shared" si="42"/>
        <v>-530679</v>
      </c>
      <c r="AF73" s="1">
        <f t="shared" si="42"/>
        <v>-532566</v>
      </c>
      <c r="AG73" s="1">
        <f t="shared" si="42"/>
        <v>-532653</v>
      </c>
      <c r="AH73" s="1">
        <f t="shared" si="42"/>
        <v>-532740</v>
      </c>
      <c r="AI73" s="1">
        <f t="shared" si="42"/>
        <v>-604866</v>
      </c>
      <c r="AJ73" s="1">
        <f t="shared" si="42"/>
        <v>-605901</v>
      </c>
      <c r="AK73" s="1">
        <f t="shared" si="42"/>
        <v>-606036</v>
      </c>
      <c r="AL73" s="1">
        <f t="shared" si="42"/>
        <v>-606144</v>
      </c>
      <c r="AM73" s="1">
        <f t="shared" si="42"/>
        <v>-677652</v>
      </c>
      <c r="AN73" s="1">
        <f t="shared" si="42"/>
        <v>-677760</v>
      </c>
      <c r="AO73" s="1">
        <f t="shared" si="42"/>
        <v>-677895</v>
      </c>
      <c r="AP73" s="1">
        <f t="shared" si="42"/>
        <v>-678030</v>
      </c>
      <c r="AQ73" s="1">
        <f t="shared" ref="AQ73:BJ73" si="43">AQ72-AQ71+AP73</f>
        <v>-681738</v>
      </c>
      <c r="AR73" s="1">
        <f t="shared" si="43"/>
        <v>-750268</v>
      </c>
      <c r="AS73" s="1">
        <f t="shared" si="43"/>
        <v>-750398</v>
      </c>
      <c r="AT73" s="1">
        <f t="shared" si="43"/>
        <v>-750528</v>
      </c>
      <c r="AU73" s="1">
        <f t="shared" si="43"/>
        <v>-750658</v>
      </c>
      <c r="AV73" s="1">
        <f t="shared" si="43"/>
        <v>-804784</v>
      </c>
      <c r="AW73" s="1">
        <f t="shared" si="43"/>
        <v>-805629</v>
      </c>
      <c r="AX73" s="1">
        <f t="shared" si="43"/>
        <v>-805754</v>
      </c>
      <c r="AY73" s="1">
        <f t="shared" si="43"/>
        <v>-814853</v>
      </c>
      <c r="AZ73" s="1">
        <f t="shared" si="43"/>
        <v>-867152</v>
      </c>
      <c r="BA73" s="1">
        <f t="shared" si="43"/>
        <v>-867152</v>
      </c>
      <c r="BB73" s="1">
        <f t="shared" si="43"/>
        <v>-867152</v>
      </c>
      <c r="BC73" s="1">
        <f t="shared" si="43"/>
        <v>-867152</v>
      </c>
      <c r="BD73" s="1">
        <f t="shared" si="43"/>
        <v>-867152</v>
      </c>
      <c r="BE73" s="1">
        <f t="shared" si="43"/>
        <v>-867152</v>
      </c>
      <c r="BF73" s="1">
        <f t="shared" si="43"/>
        <v>-867152</v>
      </c>
      <c r="BG73" s="1">
        <f t="shared" si="43"/>
        <v>-867152</v>
      </c>
      <c r="BH73" s="1">
        <f t="shared" si="43"/>
        <v>-867152</v>
      </c>
      <c r="BI73" s="1">
        <f t="shared" si="43"/>
        <v>-867152</v>
      </c>
      <c r="BJ73" s="1">
        <f t="shared" si="43"/>
        <v>-867152</v>
      </c>
      <c r="BT73" s="1" t="s">
        <v>189</v>
      </c>
    </row>
    <row r="74" spans="1:72" ht="15" thickBot="1" x14ac:dyDescent="0.4">
      <c r="A74" s="1" t="s">
        <v>85</v>
      </c>
      <c r="B74" s="4" t="s">
        <v>191</v>
      </c>
      <c r="C74" s="4" t="s">
        <v>87</v>
      </c>
      <c r="D74" s="4" t="s">
        <v>88</v>
      </c>
      <c r="E74" s="4"/>
      <c r="F74" s="4"/>
      <c r="G74" s="4" t="s">
        <v>89</v>
      </c>
      <c r="H74" s="4" t="s">
        <v>192</v>
      </c>
      <c r="I74" s="4" t="s">
        <v>179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5243</v>
      </c>
      <c r="P74" s="4">
        <v>0</v>
      </c>
      <c r="Q74" s="4">
        <v>3000</v>
      </c>
      <c r="R74" s="4">
        <v>64300</v>
      </c>
      <c r="S74" s="4">
        <v>2500</v>
      </c>
      <c r="T74" s="4">
        <v>0</v>
      </c>
      <c r="U74" s="4">
        <v>0</v>
      </c>
      <c r="V74" s="4">
        <v>1278</v>
      </c>
      <c r="W74" s="4">
        <v>72300</v>
      </c>
      <c r="X74" s="4">
        <v>0</v>
      </c>
      <c r="Y74" s="4">
        <v>0</v>
      </c>
      <c r="Z74" s="4">
        <v>0</v>
      </c>
      <c r="AA74" s="4">
        <v>69000</v>
      </c>
      <c r="AB74" s="4">
        <v>2812</v>
      </c>
      <c r="AC74" s="4">
        <v>0</v>
      </c>
      <c r="AD74" s="4">
        <v>0</v>
      </c>
      <c r="AE74" s="4">
        <v>58000</v>
      </c>
      <c r="AF74" s="4">
        <v>0</v>
      </c>
      <c r="AG74" s="4">
        <v>1250</v>
      </c>
      <c r="AH74" s="4">
        <v>0</v>
      </c>
      <c r="AI74" s="4">
        <v>0</v>
      </c>
      <c r="AJ74" s="4">
        <v>79000</v>
      </c>
      <c r="AK74" s="4">
        <v>0</v>
      </c>
      <c r="AL74" s="4">
        <v>0</v>
      </c>
      <c r="AM74" s="4">
        <v>0</v>
      </c>
      <c r="AN74" s="4">
        <v>52000</v>
      </c>
      <c r="AO74" s="4">
        <v>0</v>
      </c>
      <c r="AP74" s="4">
        <v>0</v>
      </c>
      <c r="AQ74" s="4">
        <v>0</v>
      </c>
      <c r="AR74" s="4">
        <v>51000</v>
      </c>
      <c r="AS74" s="4">
        <v>0</v>
      </c>
      <c r="AT74" s="4">
        <v>0</v>
      </c>
      <c r="AU74" s="4">
        <v>0</v>
      </c>
      <c r="AV74" s="4">
        <v>0</v>
      </c>
      <c r="AW74" s="4">
        <v>45000</v>
      </c>
      <c r="AX74" s="4">
        <v>0</v>
      </c>
      <c r="AY74" s="4">
        <v>0</v>
      </c>
      <c r="AZ74" s="4">
        <v>15559</v>
      </c>
      <c r="BA74" s="4">
        <v>27000</v>
      </c>
      <c r="BB74" s="4">
        <v>10000</v>
      </c>
      <c r="BC74" s="4">
        <v>10000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f>SUM(J74:BK74)</f>
        <v>569242</v>
      </c>
      <c r="BM74" s="4">
        <v>0</v>
      </c>
      <c r="BN74" s="4">
        <v>0</v>
      </c>
      <c r="BO74" s="4">
        <v>3000</v>
      </c>
      <c r="BP74" s="4">
        <v>0</v>
      </c>
      <c r="BQ74" s="4">
        <v>0</v>
      </c>
      <c r="BR74" s="4"/>
      <c r="BT74" s="1" t="s">
        <v>193</v>
      </c>
    </row>
    <row r="75" spans="1:72" x14ac:dyDescent="0.35">
      <c r="B75" s="1" t="s">
        <v>191</v>
      </c>
      <c r="C75" s="1" t="s">
        <v>93</v>
      </c>
      <c r="H75" s="4" t="s">
        <v>194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T75" s="1" t="s">
        <v>193</v>
      </c>
    </row>
    <row r="76" spans="1:72" ht="15" thickBot="1" x14ac:dyDescent="0.4">
      <c r="B76" s="1" t="s">
        <v>191</v>
      </c>
      <c r="C76" s="1" t="s">
        <v>95</v>
      </c>
      <c r="J76" s="1">
        <f>J75-J74</f>
        <v>0</v>
      </c>
      <c r="K76" s="1">
        <f t="shared" ref="K76:AP76" si="44">K75-K74+J76</f>
        <v>0</v>
      </c>
      <c r="L76" s="1">
        <f t="shared" si="44"/>
        <v>0</v>
      </c>
      <c r="M76" s="1">
        <f t="shared" si="44"/>
        <v>0</v>
      </c>
      <c r="N76" s="1">
        <f t="shared" si="44"/>
        <v>0</v>
      </c>
      <c r="O76" s="1">
        <f t="shared" si="44"/>
        <v>-5243</v>
      </c>
      <c r="P76" s="1">
        <f t="shared" si="44"/>
        <v>-5243</v>
      </c>
      <c r="Q76" s="1">
        <f t="shared" si="44"/>
        <v>-8243</v>
      </c>
      <c r="R76" s="1">
        <f t="shared" si="44"/>
        <v>-72543</v>
      </c>
      <c r="S76" s="1">
        <f t="shared" si="44"/>
        <v>-75043</v>
      </c>
      <c r="T76" s="1">
        <f t="shared" si="44"/>
        <v>-75043</v>
      </c>
      <c r="U76" s="1">
        <f t="shared" si="44"/>
        <v>-75043</v>
      </c>
      <c r="V76" s="1">
        <f t="shared" si="44"/>
        <v>-76321</v>
      </c>
      <c r="W76" s="1">
        <f t="shared" si="44"/>
        <v>-148621</v>
      </c>
      <c r="X76" s="1">
        <f t="shared" si="44"/>
        <v>-148621</v>
      </c>
      <c r="Y76" s="1">
        <f t="shared" si="44"/>
        <v>-148621</v>
      </c>
      <c r="Z76" s="1">
        <f t="shared" si="44"/>
        <v>-148621</v>
      </c>
      <c r="AA76" s="1">
        <f t="shared" si="44"/>
        <v>-217621</v>
      </c>
      <c r="AB76" s="1">
        <f t="shared" si="44"/>
        <v>-220433</v>
      </c>
      <c r="AC76" s="1">
        <f t="shared" si="44"/>
        <v>-220433</v>
      </c>
      <c r="AD76" s="1">
        <f t="shared" si="44"/>
        <v>-220433</v>
      </c>
      <c r="AE76" s="1">
        <f t="shared" si="44"/>
        <v>-278433</v>
      </c>
      <c r="AF76" s="1">
        <f t="shared" si="44"/>
        <v>-278433</v>
      </c>
      <c r="AG76" s="1">
        <f t="shared" si="44"/>
        <v>-279683</v>
      </c>
      <c r="AH76" s="1">
        <f t="shared" si="44"/>
        <v>-279683</v>
      </c>
      <c r="AI76" s="1">
        <f t="shared" si="44"/>
        <v>-279683</v>
      </c>
      <c r="AJ76" s="1">
        <f t="shared" si="44"/>
        <v>-358683</v>
      </c>
      <c r="AK76" s="1">
        <f t="shared" si="44"/>
        <v>-358683</v>
      </c>
      <c r="AL76" s="1">
        <f t="shared" si="44"/>
        <v>-358683</v>
      </c>
      <c r="AM76" s="1">
        <f t="shared" si="44"/>
        <v>-358683</v>
      </c>
      <c r="AN76" s="1">
        <f t="shared" si="44"/>
        <v>-410683</v>
      </c>
      <c r="AO76" s="1">
        <f t="shared" si="44"/>
        <v>-410683</v>
      </c>
      <c r="AP76" s="1">
        <f t="shared" si="44"/>
        <v>-410683</v>
      </c>
      <c r="AQ76" s="1">
        <f t="shared" ref="AQ76:BJ76" si="45">AQ75-AQ74+AP76</f>
        <v>-410683</v>
      </c>
      <c r="AR76" s="1">
        <f t="shared" si="45"/>
        <v>-461683</v>
      </c>
      <c r="AS76" s="1">
        <f t="shared" si="45"/>
        <v>-461683</v>
      </c>
      <c r="AT76" s="1">
        <f t="shared" si="45"/>
        <v>-461683</v>
      </c>
      <c r="AU76" s="1">
        <f t="shared" si="45"/>
        <v>-461683</v>
      </c>
      <c r="AV76" s="1">
        <f t="shared" si="45"/>
        <v>-461683</v>
      </c>
      <c r="AW76" s="1">
        <f t="shared" si="45"/>
        <v>-506683</v>
      </c>
      <c r="AX76" s="1">
        <f t="shared" si="45"/>
        <v>-506683</v>
      </c>
      <c r="AY76" s="1">
        <f t="shared" si="45"/>
        <v>-506683</v>
      </c>
      <c r="AZ76" s="1">
        <f t="shared" si="45"/>
        <v>-522242</v>
      </c>
      <c r="BA76" s="1">
        <f t="shared" si="45"/>
        <v>-549242</v>
      </c>
      <c r="BB76" s="1">
        <f t="shared" si="45"/>
        <v>-559242</v>
      </c>
      <c r="BC76" s="1">
        <f t="shared" si="45"/>
        <v>-569242</v>
      </c>
      <c r="BD76" s="1">
        <f t="shared" si="45"/>
        <v>-569242</v>
      </c>
      <c r="BE76" s="1">
        <f t="shared" si="45"/>
        <v>-569242</v>
      </c>
      <c r="BF76" s="1">
        <f t="shared" si="45"/>
        <v>-569242</v>
      </c>
      <c r="BG76" s="1">
        <f t="shared" si="45"/>
        <v>-569242</v>
      </c>
      <c r="BH76" s="1">
        <f t="shared" si="45"/>
        <v>-569242</v>
      </c>
      <c r="BI76" s="1">
        <f t="shared" si="45"/>
        <v>-569242</v>
      </c>
      <c r="BJ76" s="1">
        <f t="shared" si="45"/>
        <v>-569242</v>
      </c>
      <c r="BT76" s="1" t="s">
        <v>193</v>
      </c>
    </row>
    <row r="77" spans="1:72" ht="15" thickBot="1" x14ac:dyDescent="0.4">
      <c r="A77" s="1" t="s">
        <v>85</v>
      </c>
      <c r="B77" s="4" t="s">
        <v>195</v>
      </c>
      <c r="C77" s="4" t="s">
        <v>87</v>
      </c>
      <c r="D77" s="4" t="s">
        <v>88</v>
      </c>
      <c r="E77" s="4"/>
      <c r="F77" s="4"/>
      <c r="G77" s="4" t="s">
        <v>89</v>
      </c>
      <c r="H77" s="4" t="s">
        <v>196</v>
      </c>
      <c r="I77" s="4" t="s">
        <v>197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21511</v>
      </c>
      <c r="AA77" s="4">
        <v>0</v>
      </c>
      <c r="AB77" s="4">
        <v>0</v>
      </c>
      <c r="AC77" s="4">
        <v>0</v>
      </c>
      <c r="AD77" s="4">
        <v>30000</v>
      </c>
      <c r="AE77" s="4">
        <v>0</v>
      </c>
      <c r="AF77" s="4">
        <v>0</v>
      </c>
      <c r="AG77" s="4">
        <v>0</v>
      </c>
      <c r="AH77" s="4">
        <v>0</v>
      </c>
      <c r="AI77" s="4">
        <v>30000</v>
      </c>
      <c r="AJ77" s="4">
        <v>0</v>
      </c>
      <c r="AK77" s="4">
        <v>0</v>
      </c>
      <c r="AL77" s="4">
        <v>0</v>
      </c>
      <c r="AM77" s="4">
        <v>30000</v>
      </c>
      <c r="AN77" s="4">
        <v>0</v>
      </c>
      <c r="AO77" s="4">
        <v>0</v>
      </c>
      <c r="AP77" s="4">
        <v>0</v>
      </c>
      <c r="AQ77" s="4">
        <v>30000</v>
      </c>
      <c r="AR77" s="4">
        <v>0</v>
      </c>
      <c r="AS77" s="4">
        <v>0</v>
      </c>
      <c r="AT77" s="4">
        <v>0</v>
      </c>
      <c r="AU77" s="4">
        <v>0</v>
      </c>
      <c r="AV77" s="4">
        <v>30000</v>
      </c>
      <c r="AW77" s="4">
        <v>0</v>
      </c>
      <c r="AX77" s="4">
        <v>0</v>
      </c>
      <c r="AY77" s="4">
        <v>0</v>
      </c>
      <c r="AZ77" s="4">
        <v>10000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f>SUM(J77:BK77)</f>
        <v>181511</v>
      </c>
      <c r="BM77" s="4">
        <v>35000</v>
      </c>
      <c r="BN77" s="4">
        <v>0</v>
      </c>
      <c r="BO77" s="4">
        <v>5000</v>
      </c>
      <c r="BP77" s="4">
        <v>0</v>
      </c>
      <c r="BQ77" s="4">
        <v>0</v>
      </c>
      <c r="BR77" s="4"/>
      <c r="BT77" s="1" t="s">
        <v>198</v>
      </c>
    </row>
    <row r="78" spans="1:72" x14ac:dyDescent="0.35">
      <c r="B78" s="1" t="s">
        <v>195</v>
      </c>
      <c r="C78" s="1" t="s">
        <v>93</v>
      </c>
      <c r="H78" s="4" t="s">
        <v>199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T78" s="1" t="s">
        <v>198</v>
      </c>
    </row>
    <row r="79" spans="1:72" ht="15" thickBot="1" x14ac:dyDescent="0.4">
      <c r="B79" s="1" t="s">
        <v>195</v>
      </c>
      <c r="C79" s="1" t="s">
        <v>95</v>
      </c>
      <c r="J79" s="1">
        <f>J78-J77</f>
        <v>0</v>
      </c>
      <c r="K79" s="1">
        <f t="shared" ref="K79:AP79" si="46">K78-K77+J79</f>
        <v>0</v>
      </c>
      <c r="L79" s="1">
        <f t="shared" si="46"/>
        <v>0</v>
      </c>
      <c r="M79" s="1">
        <f t="shared" si="46"/>
        <v>0</v>
      </c>
      <c r="N79" s="1">
        <f t="shared" si="46"/>
        <v>0</v>
      </c>
      <c r="O79" s="1">
        <f t="shared" si="46"/>
        <v>0</v>
      </c>
      <c r="P79" s="1">
        <f t="shared" si="46"/>
        <v>0</v>
      </c>
      <c r="Q79" s="1">
        <f t="shared" si="46"/>
        <v>0</v>
      </c>
      <c r="R79" s="1">
        <f t="shared" si="46"/>
        <v>0</v>
      </c>
      <c r="S79" s="1">
        <f t="shared" si="46"/>
        <v>0</v>
      </c>
      <c r="T79" s="1">
        <f t="shared" si="46"/>
        <v>0</v>
      </c>
      <c r="U79" s="1">
        <f t="shared" si="46"/>
        <v>0</v>
      </c>
      <c r="V79" s="1">
        <f t="shared" si="46"/>
        <v>0</v>
      </c>
      <c r="W79" s="1">
        <f t="shared" si="46"/>
        <v>0</v>
      </c>
      <c r="X79" s="1">
        <f t="shared" si="46"/>
        <v>0</v>
      </c>
      <c r="Y79" s="1">
        <f t="shared" si="46"/>
        <v>0</v>
      </c>
      <c r="Z79" s="1">
        <f t="shared" si="46"/>
        <v>-21511</v>
      </c>
      <c r="AA79" s="1">
        <f t="shared" si="46"/>
        <v>-21511</v>
      </c>
      <c r="AB79" s="1">
        <f t="shared" si="46"/>
        <v>-21511</v>
      </c>
      <c r="AC79" s="1">
        <f t="shared" si="46"/>
        <v>-21511</v>
      </c>
      <c r="AD79" s="1">
        <f t="shared" si="46"/>
        <v>-51511</v>
      </c>
      <c r="AE79" s="1">
        <f t="shared" si="46"/>
        <v>-51511</v>
      </c>
      <c r="AF79" s="1">
        <f t="shared" si="46"/>
        <v>-51511</v>
      </c>
      <c r="AG79" s="1">
        <f t="shared" si="46"/>
        <v>-51511</v>
      </c>
      <c r="AH79" s="1">
        <f t="shared" si="46"/>
        <v>-51511</v>
      </c>
      <c r="AI79" s="1">
        <f t="shared" si="46"/>
        <v>-81511</v>
      </c>
      <c r="AJ79" s="1">
        <f t="shared" si="46"/>
        <v>-81511</v>
      </c>
      <c r="AK79" s="1">
        <f t="shared" si="46"/>
        <v>-81511</v>
      </c>
      <c r="AL79" s="1">
        <f t="shared" si="46"/>
        <v>-81511</v>
      </c>
      <c r="AM79" s="1">
        <f t="shared" si="46"/>
        <v>-111511</v>
      </c>
      <c r="AN79" s="1">
        <f t="shared" si="46"/>
        <v>-111511</v>
      </c>
      <c r="AO79" s="1">
        <f t="shared" si="46"/>
        <v>-111511</v>
      </c>
      <c r="AP79" s="1">
        <f t="shared" si="46"/>
        <v>-111511</v>
      </c>
      <c r="AQ79" s="1">
        <f t="shared" ref="AQ79:BJ79" si="47">AQ78-AQ77+AP79</f>
        <v>-141511</v>
      </c>
      <c r="AR79" s="1">
        <f t="shared" si="47"/>
        <v>-141511</v>
      </c>
      <c r="AS79" s="1">
        <f t="shared" si="47"/>
        <v>-141511</v>
      </c>
      <c r="AT79" s="1">
        <f t="shared" si="47"/>
        <v>-141511</v>
      </c>
      <c r="AU79" s="1">
        <f t="shared" si="47"/>
        <v>-141511</v>
      </c>
      <c r="AV79" s="1">
        <f t="shared" si="47"/>
        <v>-171511</v>
      </c>
      <c r="AW79" s="1">
        <f t="shared" si="47"/>
        <v>-171511</v>
      </c>
      <c r="AX79" s="1">
        <f t="shared" si="47"/>
        <v>-171511</v>
      </c>
      <c r="AY79" s="1">
        <f t="shared" si="47"/>
        <v>-171511</v>
      </c>
      <c r="AZ79" s="1">
        <f t="shared" si="47"/>
        <v>-181511</v>
      </c>
      <c r="BA79" s="1">
        <f t="shared" si="47"/>
        <v>-181511</v>
      </c>
      <c r="BB79" s="1">
        <f t="shared" si="47"/>
        <v>-181511</v>
      </c>
      <c r="BC79" s="1">
        <f t="shared" si="47"/>
        <v>-181511</v>
      </c>
      <c r="BD79" s="1">
        <f t="shared" si="47"/>
        <v>-181511</v>
      </c>
      <c r="BE79" s="1">
        <f t="shared" si="47"/>
        <v>-181511</v>
      </c>
      <c r="BF79" s="1">
        <f t="shared" si="47"/>
        <v>-181511</v>
      </c>
      <c r="BG79" s="1">
        <f t="shared" si="47"/>
        <v>-181511</v>
      </c>
      <c r="BH79" s="1">
        <f t="shared" si="47"/>
        <v>-181511</v>
      </c>
      <c r="BI79" s="1">
        <f t="shared" si="47"/>
        <v>-181511</v>
      </c>
      <c r="BJ79" s="1">
        <f t="shared" si="47"/>
        <v>-181511</v>
      </c>
      <c r="BT79" s="1" t="s">
        <v>198</v>
      </c>
    </row>
    <row r="80" spans="1:72" ht="15" thickBot="1" x14ac:dyDescent="0.4">
      <c r="A80" s="1" t="s">
        <v>85</v>
      </c>
      <c r="B80" s="4" t="s">
        <v>200</v>
      </c>
      <c r="C80" s="4" t="s">
        <v>87</v>
      </c>
      <c r="D80" s="4" t="s">
        <v>88</v>
      </c>
      <c r="E80" s="4"/>
      <c r="F80" s="4"/>
      <c r="G80" s="4" t="s">
        <v>89</v>
      </c>
      <c r="H80" s="4" t="s">
        <v>201</v>
      </c>
      <c r="I80" s="4" t="s">
        <v>111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1028</v>
      </c>
      <c r="W80" s="4">
        <v>3960</v>
      </c>
      <c r="X80" s="4">
        <v>0</v>
      </c>
      <c r="Y80" s="4">
        <v>0</v>
      </c>
      <c r="Z80" s="4">
        <v>0</v>
      </c>
      <c r="AA80" s="4">
        <v>0</v>
      </c>
      <c r="AB80" s="4">
        <v>131</v>
      </c>
      <c r="AC80" s="4">
        <v>131</v>
      </c>
      <c r="AD80" s="4">
        <v>131</v>
      </c>
      <c r="AE80" s="4">
        <v>131</v>
      </c>
      <c r="AF80" s="4">
        <v>572</v>
      </c>
      <c r="AG80" s="4">
        <v>572</v>
      </c>
      <c r="AH80" s="4">
        <v>572</v>
      </c>
      <c r="AI80" s="4">
        <v>572</v>
      </c>
      <c r="AJ80" s="4">
        <v>835</v>
      </c>
      <c r="AK80" s="4">
        <v>900</v>
      </c>
      <c r="AL80" s="4">
        <v>900</v>
      </c>
      <c r="AM80" s="4">
        <v>720</v>
      </c>
      <c r="AN80" s="4">
        <v>720</v>
      </c>
      <c r="AO80" s="4">
        <v>720</v>
      </c>
      <c r="AP80" s="4">
        <v>900</v>
      </c>
      <c r="AQ80" s="4">
        <v>900</v>
      </c>
      <c r="AR80" s="4">
        <v>720</v>
      </c>
      <c r="AS80" s="4">
        <v>858</v>
      </c>
      <c r="AT80" s="4">
        <v>858</v>
      </c>
      <c r="AU80" s="4">
        <v>858</v>
      </c>
      <c r="AV80" s="4">
        <v>858</v>
      </c>
      <c r="AW80" s="4">
        <v>827</v>
      </c>
      <c r="AX80" s="4">
        <v>819</v>
      </c>
      <c r="AY80" s="4">
        <v>819</v>
      </c>
      <c r="AZ80" s="4">
        <v>655</v>
      </c>
      <c r="BA80" s="4">
        <v>655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f>SUM(J80:BK80)</f>
        <v>22322</v>
      </c>
      <c r="BM80" s="4">
        <v>5000</v>
      </c>
      <c r="BN80" s="4">
        <v>0</v>
      </c>
      <c r="BO80" s="4">
        <v>5000</v>
      </c>
      <c r="BP80" s="4">
        <v>0</v>
      </c>
      <c r="BQ80" s="4">
        <v>0</v>
      </c>
      <c r="BR80" s="4"/>
      <c r="BT80" s="1" t="s">
        <v>202</v>
      </c>
    </row>
    <row r="81" spans="1:72" x14ac:dyDescent="0.35">
      <c r="B81" s="1" t="s">
        <v>200</v>
      </c>
      <c r="C81" s="1" t="s">
        <v>93</v>
      </c>
      <c r="H81" s="4" t="s">
        <v>203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T81" s="1" t="s">
        <v>202</v>
      </c>
    </row>
    <row r="82" spans="1:72" ht="15" thickBot="1" x14ac:dyDescent="0.4">
      <c r="B82" s="1" t="s">
        <v>200</v>
      </c>
      <c r="C82" s="1" t="s">
        <v>95</v>
      </c>
      <c r="J82" s="1">
        <f>J81-J80</f>
        <v>0</v>
      </c>
      <c r="K82" s="1">
        <f t="shared" ref="K82:AP82" si="48">K81-K80+J82</f>
        <v>0</v>
      </c>
      <c r="L82" s="1">
        <f t="shared" si="48"/>
        <v>0</v>
      </c>
      <c r="M82" s="1">
        <f t="shared" si="48"/>
        <v>0</v>
      </c>
      <c r="N82" s="1">
        <f t="shared" si="48"/>
        <v>0</v>
      </c>
      <c r="O82" s="1">
        <f t="shared" si="48"/>
        <v>0</v>
      </c>
      <c r="P82" s="1">
        <f t="shared" si="48"/>
        <v>0</v>
      </c>
      <c r="Q82" s="1">
        <f t="shared" si="48"/>
        <v>0</v>
      </c>
      <c r="R82" s="1">
        <f t="shared" si="48"/>
        <v>0</v>
      </c>
      <c r="S82" s="1">
        <f t="shared" si="48"/>
        <v>0</v>
      </c>
      <c r="T82" s="1">
        <f t="shared" si="48"/>
        <v>0</v>
      </c>
      <c r="U82" s="1">
        <f t="shared" si="48"/>
        <v>0</v>
      </c>
      <c r="V82" s="1">
        <f t="shared" si="48"/>
        <v>-1028</v>
      </c>
      <c r="W82" s="1">
        <f t="shared" si="48"/>
        <v>-4988</v>
      </c>
      <c r="X82" s="1">
        <f t="shared" si="48"/>
        <v>-4988</v>
      </c>
      <c r="Y82" s="1">
        <f t="shared" si="48"/>
        <v>-4988</v>
      </c>
      <c r="Z82" s="1">
        <f t="shared" si="48"/>
        <v>-4988</v>
      </c>
      <c r="AA82" s="1">
        <f t="shared" si="48"/>
        <v>-4988</v>
      </c>
      <c r="AB82" s="1">
        <f t="shared" si="48"/>
        <v>-5119</v>
      </c>
      <c r="AC82" s="1">
        <f t="shared" si="48"/>
        <v>-5250</v>
      </c>
      <c r="AD82" s="1">
        <f t="shared" si="48"/>
        <v>-5381</v>
      </c>
      <c r="AE82" s="1">
        <f t="shared" si="48"/>
        <v>-5512</v>
      </c>
      <c r="AF82" s="1">
        <f t="shared" si="48"/>
        <v>-6084</v>
      </c>
      <c r="AG82" s="1">
        <f t="shared" si="48"/>
        <v>-6656</v>
      </c>
      <c r="AH82" s="1">
        <f t="shared" si="48"/>
        <v>-7228</v>
      </c>
      <c r="AI82" s="1">
        <f t="shared" si="48"/>
        <v>-7800</v>
      </c>
      <c r="AJ82" s="1">
        <f t="shared" si="48"/>
        <v>-8635</v>
      </c>
      <c r="AK82" s="1">
        <f t="shared" si="48"/>
        <v>-9535</v>
      </c>
      <c r="AL82" s="1">
        <f t="shared" si="48"/>
        <v>-10435</v>
      </c>
      <c r="AM82" s="1">
        <f t="shared" si="48"/>
        <v>-11155</v>
      </c>
      <c r="AN82" s="1">
        <f t="shared" si="48"/>
        <v>-11875</v>
      </c>
      <c r="AO82" s="1">
        <f t="shared" si="48"/>
        <v>-12595</v>
      </c>
      <c r="AP82" s="1">
        <f t="shared" si="48"/>
        <v>-13495</v>
      </c>
      <c r="AQ82" s="1">
        <f t="shared" ref="AQ82:BJ82" si="49">AQ81-AQ80+AP82</f>
        <v>-14395</v>
      </c>
      <c r="AR82" s="1">
        <f t="shared" si="49"/>
        <v>-15115</v>
      </c>
      <c r="AS82" s="1">
        <f t="shared" si="49"/>
        <v>-15973</v>
      </c>
      <c r="AT82" s="1">
        <f t="shared" si="49"/>
        <v>-16831</v>
      </c>
      <c r="AU82" s="1">
        <f t="shared" si="49"/>
        <v>-17689</v>
      </c>
      <c r="AV82" s="1">
        <f t="shared" si="49"/>
        <v>-18547</v>
      </c>
      <c r="AW82" s="1">
        <f t="shared" si="49"/>
        <v>-19374</v>
      </c>
      <c r="AX82" s="1">
        <f t="shared" si="49"/>
        <v>-20193</v>
      </c>
      <c r="AY82" s="1">
        <f t="shared" si="49"/>
        <v>-21012</v>
      </c>
      <c r="AZ82" s="1">
        <f t="shared" si="49"/>
        <v>-21667</v>
      </c>
      <c r="BA82" s="1">
        <f t="shared" si="49"/>
        <v>-22322</v>
      </c>
      <c r="BB82" s="1">
        <f t="shared" si="49"/>
        <v>-22322</v>
      </c>
      <c r="BC82" s="1">
        <f t="shared" si="49"/>
        <v>-22322</v>
      </c>
      <c r="BD82" s="1">
        <f t="shared" si="49"/>
        <v>-22322</v>
      </c>
      <c r="BE82" s="1">
        <f t="shared" si="49"/>
        <v>-22322</v>
      </c>
      <c r="BF82" s="1">
        <f t="shared" si="49"/>
        <v>-22322</v>
      </c>
      <c r="BG82" s="1">
        <f t="shared" si="49"/>
        <v>-22322</v>
      </c>
      <c r="BH82" s="1">
        <f t="shared" si="49"/>
        <v>-22322</v>
      </c>
      <c r="BI82" s="1">
        <f t="shared" si="49"/>
        <v>-22322</v>
      </c>
      <c r="BJ82" s="1">
        <f t="shared" si="49"/>
        <v>-22322</v>
      </c>
      <c r="BT82" s="1" t="s">
        <v>202</v>
      </c>
    </row>
    <row r="83" spans="1:72" ht="15" thickBot="1" x14ac:dyDescent="0.4">
      <c r="A83" s="1" t="s">
        <v>85</v>
      </c>
      <c r="B83" s="4" t="s">
        <v>204</v>
      </c>
      <c r="C83" s="4" t="s">
        <v>87</v>
      </c>
      <c r="D83" s="4" t="s">
        <v>88</v>
      </c>
      <c r="E83" s="4"/>
      <c r="F83" s="4"/>
      <c r="G83" s="4" t="s">
        <v>89</v>
      </c>
      <c r="H83" s="4" t="s">
        <v>205</v>
      </c>
      <c r="I83" s="4" t="s">
        <v>179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84390</v>
      </c>
      <c r="R83" s="4">
        <v>3500</v>
      </c>
      <c r="S83" s="4">
        <v>0</v>
      </c>
      <c r="T83" s="4">
        <v>0</v>
      </c>
      <c r="U83" s="4">
        <v>57051</v>
      </c>
      <c r="V83" s="4">
        <v>74552</v>
      </c>
      <c r="W83" s="4">
        <v>0</v>
      </c>
      <c r="X83" s="4">
        <v>0</v>
      </c>
      <c r="Y83" s="4">
        <v>0</v>
      </c>
      <c r="Z83" s="4">
        <v>54126</v>
      </c>
      <c r="AA83" s="4">
        <v>4702</v>
      </c>
      <c r="AB83" s="4">
        <v>485</v>
      </c>
      <c r="AC83" s="4">
        <v>485</v>
      </c>
      <c r="AD83" s="4">
        <v>20034</v>
      </c>
      <c r="AE83" s="4">
        <v>18951</v>
      </c>
      <c r="AF83" s="4">
        <v>23737</v>
      </c>
      <c r="AG83" s="4">
        <v>3251</v>
      </c>
      <c r="AH83" s="4">
        <v>3251</v>
      </c>
      <c r="AI83" s="4">
        <v>51256</v>
      </c>
      <c r="AJ83" s="4">
        <v>4523</v>
      </c>
      <c r="AK83" s="4">
        <v>4523</v>
      </c>
      <c r="AL83" s="4">
        <v>14597</v>
      </c>
      <c r="AM83" s="4">
        <v>30187</v>
      </c>
      <c r="AN83" s="4">
        <v>26495</v>
      </c>
      <c r="AO83" s="4">
        <v>5716</v>
      </c>
      <c r="AP83" s="4">
        <v>5716</v>
      </c>
      <c r="AQ83" s="4">
        <v>10157</v>
      </c>
      <c r="AR83" s="4">
        <v>24975</v>
      </c>
      <c r="AS83" s="4">
        <v>3175</v>
      </c>
      <c r="AT83" s="4">
        <v>3175</v>
      </c>
      <c r="AU83" s="4">
        <v>3175</v>
      </c>
      <c r="AV83" s="4">
        <v>19799</v>
      </c>
      <c r="AW83" s="4">
        <v>5198</v>
      </c>
      <c r="AX83" s="4">
        <v>5198</v>
      </c>
      <c r="AY83" s="4">
        <v>11945</v>
      </c>
      <c r="AZ83" s="4">
        <v>35163</v>
      </c>
      <c r="BA83" s="4">
        <v>14000</v>
      </c>
      <c r="BB83" s="4">
        <v>14000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f>SUM(J83:BK83)</f>
        <v>641488</v>
      </c>
      <c r="BM83" s="4">
        <v>426000</v>
      </c>
      <c r="BN83" s="4">
        <v>0</v>
      </c>
      <c r="BO83" s="4">
        <v>3000</v>
      </c>
      <c r="BP83" s="4">
        <v>0</v>
      </c>
      <c r="BQ83" s="4">
        <v>0</v>
      </c>
      <c r="BR83" s="4"/>
      <c r="BT83" s="1" t="s">
        <v>206</v>
      </c>
    </row>
    <row r="84" spans="1:72" x14ac:dyDescent="0.35">
      <c r="B84" s="1" t="s">
        <v>204</v>
      </c>
      <c r="C84" s="1" t="s">
        <v>93</v>
      </c>
      <c r="H84" s="4" t="s">
        <v>207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T84" s="1" t="s">
        <v>206</v>
      </c>
    </row>
    <row r="85" spans="1:72" ht="15" thickBot="1" x14ac:dyDescent="0.4">
      <c r="B85" s="1" t="s">
        <v>204</v>
      </c>
      <c r="C85" s="1" t="s">
        <v>95</v>
      </c>
      <c r="J85" s="1">
        <f>J84-J83</f>
        <v>0</v>
      </c>
      <c r="K85" s="1">
        <f t="shared" ref="K85:AP85" si="50">K84-K83+J85</f>
        <v>0</v>
      </c>
      <c r="L85" s="1">
        <f t="shared" si="50"/>
        <v>0</v>
      </c>
      <c r="M85" s="1">
        <f t="shared" si="50"/>
        <v>0</v>
      </c>
      <c r="N85" s="1">
        <f t="shared" si="50"/>
        <v>0</v>
      </c>
      <c r="O85" s="1">
        <f t="shared" si="50"/>
        <v>0</v>
      </c>
      <c r="P85" s="1">
        <f t="shared" si="50"/>
        <v>0</v>
      </c>
      <c r="Q85" s="1">
        <f t="shared" si="50"/>
        <v>-84390</v>
      </c>
      <c r="R85" s="1">
        <f t="shared" si="50"/>
        <v>-87890</v>
      </c>
      <c r="S85" s="1">
        <f t="shared" si="50"/>
        <v>-87890</v>
      </c>
      <c r="T85" s="1">
        <f t="shared" si="50"/>
        <v>-87890</v>
      </c>
      <c r="U85" s="1">
        <f t="shared" si="50"/>
        <v>-144941</v>
      </c>
      <c r="V85" s="1">
        <f t="shared" si="50"/>
        <v>-219493</v>
      </c>
      <c r="W85" s="1">
        <f t="shared" si="50"/>
        <v>-219493</v>
      </c>
      <c r="X85" s="1">
        <f t="shared" si="50"/>
        <v>-219493</v>
      </c>
      <c r="Y85" s="1">
        <f t="shared" si="50"/>
        <v>-219493</v>
      </c>
      <c r="Z85" s="1">
        <f t="shared" si="50"/>
        <v>-273619</v>
      </c>
      <c r="AA85" s="1">
        <f t="shared" si="50"/>
        <v>-278321</v>
      </c>
      <c r="AB85" s="1">
        <f t="shared" si="50"/>
        <v>-278806</v>
      </c>
      <c r="AC85" s="1">
        <f t="shared" si="50"/>
        <v>-279291</v>
      </c>
      <c r="AD85" s="1">
        <f t="shared" si="50"/>
        <v>-299325</v>
      </c>
      <c r="AE85" s="1">
        <f t="shared" si="50"/>
        <v>-318276</v>
      </c>
      <c r="AF85" s="1">
        <f t="shared" si="50"/>
        <v>-342013</v>
      </c>
      <c r="AG85" s="1">
        <f t="shared" si="50"/>
        <v>-345264</v>
      </c>
      <c r="AH85" s="1">
        <f t="shared" si="50"/>
        <v>-348515</v>
      </c>
      <c r="AI85" s="1">
        <f t="shared" si="50"/>
        <v>-399771</v>
      </c>
      <c r="AJ85" s="1">
        <f t="shared" si="50"/>
        <v>-404294</v>
      </c>
      <c r="AK85" s="1">
        <f t="shared" si="50"/>
        <v>-408817</v>
      </c>
      <c r="AL85" s="1">
        <f t="shared" si="50"/>
        <v>-423414</v>
      </c>
      <c r="AM85" s="1">
        <f t="shared" si="50"/>
        <v>-453601</v>
      </c>
      <c r="AN85" s="1">
        <f t="shared" si="50"/>
        <v>-480096</v>
      </c>
      <c r="AO85" s="1">
        <f t="shared" si="50"/>
        <v>-485812</v>
      </c>
      <c r="AP85" s="1">
        <f t="shared" si="50"/>
        <v>-491528</v>
      </c>
      <c r="AQ85" s="1">
        <f t="shared" ref="AQ85:BJ85" si="51">AQ84-AQ83+AP85</f>
        <v>-501685</v>
      </c>
      <c r="AR85" s="1">
        <f t="shared" si="51"/>
        <v>-526660</v>
      </c>
      <c r="AS85" s="1">
        <f t="shared" si="51"/>
        <v>-529835</v>
      </c>
      <c r="AT85" s="1">
        <f t="shared" si="51"/>
        <v>-533010</v>
      </c>
      <c r="AU85" s="1">
        <f t="shared" si="51"/>
        <v>-536185</v>
      </c>
      <c r="AV85" s="1">
        <f t="shared" si="51"/>
        <v>-555984</v>
      </c>
      <c r="AW85" s="1">
        <f t="shared" si="51"/>
        <v>-561182</v>
      </c>
      <c r="AX85" s="1">
        <f t="shared" si="51"/>
        <v>-566380</v>
      </c>
      <c r="AY85" s="1">
        <f t="shared" si="51"/>
        <v>-578325</v>
      </c>
      <c r="AZ85" s="1">
        <f t="shared" si="51"/>
        <v>-613488</v>
      </c>
      <c r="BA85" s="1">
        <f t="shared" si="51"/>
        <v>-627488</v>
      </c>
      <c r="BB85" s="1">
        <f t="shared" si="51"/>
        <v>-641488</v>
      </c>
      <c r="BC85" s="1">
        <f t="shared" si="51"/>
        <v>-641488</v>
      </c>
      <c r="BD85" s="1">
        <f t="shared" si="51"/>
        <v>-641488</v>
      </c>
      <c r="BE85" s="1">
        <f t="shared" si="51"/>
        <v>-641488</v>
      </c>
      <c r="BF85" s="1">
        <f t="shared" si="51"/>
        <v>-641488</v>
      </c>
      <c r="BG85" s="1">
        <f t="shared" si="51"/>
        <v>-641488</v>
      </c>
      <c r="BH85" s="1">
        <f t="shared" si="51"/>
        <v>-641488</v>
      </c>
      <c r="BI85" s="1">
        <f t="shared" si="51"/>
        <v>-641488</v>
      </c>
      <c r="BJ85" s="1">
        <f t="shared" si="51"/>
        <v>-641488</v>
      </c>
      <c r="BT85" s="1" t="s">
        <v>206</v>
      </c>
    </row>
    <row r="86" spans="1:72" ht="15" thickBot="1" x14ac:dyDescent="0.4">
      <c r="A86" s="1" t="s">
        <v>85</v>
      </c>
      <c r="B86" s="4" t="s">
        <v>208</v>
      </c>
      <c r="C86" s="4" t="s">
        <v>87</v>
      </c>
      <c r="D86" s="4" t="s">
        <v>88</v>
      </c>
      <c r="E86" s="4"/>
      <c r="F86" s="4"/>
      <c r="G86" s="4" t="s">
        <v>89</v>
      </c>
      <c r="H86" s="4" t="s">
        <v>209</v>
      </c>
      <c r="I86" s="4" t="s">
        <v>179</v>
      </c>
      <c r="J86" s="4">
        <v>155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35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f>SUM(J86:BK86)</f>
        <v>190</v>
      </c>
      <c r="BM86" s="4">
        <v>0</v>
      </c>
      <c r="BN86" s="4">
        <v>0</v>
      </c>
      <c r="BO86" s="4">
        <v>800</v>
      </c>
      <c r="BP86" s="4">
        <v>0</v>
      </c>
      <c r="BQ86" s="4">
        <v>0</v>
      </c>
      <c r="BR86" s="4"/>
      <c r="BT86" s="1" t="s">
        <v>210</v>
      </c>
    </row>
    <row r="87" spans="1:72" x14ac:dyDescent="0.35">
      <c r="B87" s="1" t="s">
        <v>208</v>
      </c>
      <c r="C87" s="1" t="s">
        <v>93</v>
      </c>
      <c r="H87" s="4" t="s">
        <v>211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T87" s="1" t="s">
        <v>210</v>
      </c>
    </row>
    <row r="88" spans="1:72" ht="15" thickBot="1" x14ac:dyDescent="0.4">
      <c r="B88" s="1" t="s">
        <v>208</v>
      </c>
      <c r="C88" s="1" t="s">
        <v>95</v>
      </c>
      <c r="J88" s="1">
        <f>J87-J86</f>
        <v>-155</v>
      </c>
      <c r="K88" s="1">
        <f t="shared" ref="K88:AP88" si="52">K87-K86+J88</f>
        <v>-155</v>
      </c>
      <c r="L88" s="1">
        <f t="shared" si="52"/>
        <v>-155</v>
      </c>
      <c r="M88" s="1">
        <f t="shared" si="52"/>
        <v>-155</v>
      </c>
      <c r="N88" s="1">
        <f t="shared" si="52"/>
        <v>-155</v>
      </c>
      <c r="O88" s="1">
        <f t="shared" si="52"/>
        <v>-155</v>
      </c>
      <c r="P88" s="1">
        <f t="shared" si="52"/>
        <v>-155</v>
      </c>
      <c r="Q88" s="1">
        <f t="shared" si="52"/>
        <v>-155</v>
      </c>
      <c r="R88" s="1">
        <f t="shared" si="52"/>
        <v>-155</v>
      </c>
      <c r="S88" s="1">
        <f t="shared" si="52"/>
        <v>-155</v>
      </c>
      <c r="T88" s="1">
        <f t="shared" si="52"/>
        <v>-155</v>
      </c>
      <c r="U88" s="1">
        <f t="shared" si="52"/>
        <v>-155</v>
      </c>
      <c r="V88" s="1">
        <f t="shared" si="52"/>
        <v>-155</v>
      </c>
      <c r="W88" s="1">
        <f t="shared" si="52"/>
        <v>-155</v>
      </c>
      <c r="X88" s="1">
        <f t="shared" si="52"/>
        <v>-155</v>
      </c>
      <c r="Y88" s="1">
        <f t="shared" si="52"/>
        <v>-155</v>
      </c>
      <c r="Z88" s="1">
        <f t="shared" si="52"/>
        <v>-190</v>
      </c>
      <c r="AA88" s="1">
        <f t="shared" si="52"/>
        <v>-190</v>
      </c>
      <c r="AB88" s="1">
        <f t="shared" si="52"/>
        <v>-190</v>
      </c>
      <c r="AC88" s="1">
        <f t="shared" si="52"/>
        <v>-190</v>
      </c>
      <c r="AD88" s="1">
        <f t="shared" si="52"/>
        <v>-190</v>
      </c>
      <c r="AE88" s="1">
        <f t="shared" si="52"/>
        <v>-190</v>
      </c>
      <c r="AF88" s="1">
        <f t="shared" si="52"/>
        <v>-190</v>
      </c>
      <c r="AG88" s="1">
        <f t="shared" si="52"/>
        <v>-190</v>
      </c>
      <c r="AH88" s="1">
        <f t="shared" si="52"/>
        <v>-190</v>
      </c>
      <c r="AI88" s="1">
        <f t="shared" si="52"/>
        <v>-190</v>
      </c>
      <c r="AJ88" s="1">
        <f t="shared" si="52"/>
        <v>-190</v>
      </c>
      <c r="AK88" s="1">
        <f t="shared" si="52"/>
        <v>-190</v>
      </c>
      <c r="AL88" s="1">
        <f t="shared" si="52"/>
        <v>-190</v>
      </c>
      <c r="AM88" s="1">
        <f t="shared" si="52"/>
        <v>-190</v>
      </c>
      <c r="AN88" s="1">
        <f t="shared" si="52"/>
        <v>-190</v>
      </c>
      <c r="AO88" s="1">
        <f t="shared" si="52"/>
        <v>-190</v>
      </c>
      <c r="AP88" s="1">
        <f t="shared" si="52"/>
        <v>-190</v>
      </c>
      <c r="AQ88" s="1">
        <f t="shared" ref="AQ88:BJ88" si="53">AQ87-AQ86+AP88</f>
        <v>-190</v>
      </c>
      <c r="AR88" s="1">
        <f t="shared" si="53"/>
        <v>-190</v>
      </c>
      <c r="AS88" s="1">
        <f t="shared" si="53"/>
        <v>-190</v>
      </c>
      <c r="AT88" s="1">
        <f t="shared" si="53"/>
        <v>-190</v>
      </c>
      <c r="AU88" s="1">
        <f t="shared" si="53"/>
        <v>-190</v>
      </c>
      <c r="AV88" s="1">
        <f t="shared" si="53"/>
        <v>-190</v>
      </c>
      <c r="AW88" s="1">
        <f t="shared" si="53"/>
        <v>-190</v>
      </c>
      <c r="AX88" s="1">
        <f t="shared" si="53"/>
        <v>-190</v>
      </c>
      <c r="AY88" s="1">
        <f t="shared" si="53"/>
        <v>-190</v>
      </c>
      <c r="AZ88" s="1">
        <f t="shared" si="53"/>
        <v>-190</v>
      </c>
      <c r="BA88" s="1">
        <f t="shared" si="53"/>
        <v>-190</v>
      </c>
      <c r="BB88" s="1">
        <f t="shared" si="53"/>
        <v>-190</v>
      </c>
      <c r="BC88" s="1">
        <f t="shared" si="53"/>
        <v>-190</v>
      </c>
      <c r="BD88" s="1">
        <f t="shared" si="53"/>
        <v>-190</v>
      </c>
      <c r="BE88" s="1">
        <f t="shared" si="53"/>
        <v>-190</v>
      </c>
      <c r="BF88" s="1">
        <f t="shared" si="53"/>
        <v>-190</v>
      </c>
      <c r="BG88" s="1">
        <f t="shared" si="53"/>
        <v>-190</v>
      </c>
      <c r="BH88" s="1">
        <f t="shared" si="53"/>
        <v>-190</v>
      </c>
      <c r="BI88" s="1">
        <f t="shared" si="53"/>
        <v>-190</v>
      </c>
      <c r="BJ88" s="1">
        <f t="shared" si="53"/>
        <v>-190</v>
      </c>
      <c r="BT88" s="1" t="s">
        <v>210</v>
      </c>
    </row>
    <row r="89" spans="1:72" ht="15" thickBot="1" x14ac:dyDescent="0.4">
      <c r="A89" s="1" t="s">
        <v>85</v>
      </c>
      <c r="B89" s="4" t="s">
        <v>212</v>
      </c>
      <c r="C89" s="4" t="s">
        <v>87</v>
      </c>
      <c r="D89" s="4" t="s">
        <v>88</v>
      </c>
      <c r="E89" s="4"/>
      <c r="F89" s="4"/>
      <c r="G89" s="4" t="s">
        <v>89</v>
      </c>
      <c r="H89" s="4" t="s">
        <v>213</v>
      </c>
      <c r="I89" s="4" t="s">
        <v>214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157</v>
      </c>
      <c r="P89" s="4">
        <v>0</v>
      </c>
      <c r="Q89" s="4">
        <v>0</v>
      </c>
      <c r="R89" s="4">
        <v>540</v>
      </c>
      <c r="S89" s="4">
        <v>0</v>
      </c>
      <c r="T89" s="4">
        <v>0</v>
      </c>
      <c r="U89" s="4">
        <v>0</v>
      </c>
      <c r="V89" s="4">
        <v>1350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268</v>
      </c>
      <c r="AG89" s="4">
        <v>0</v>
      </c>
      <c r="AH89" s="4">
        <v>0</v>
      </c>
      <c r="AI89" s="4">
        <v>0</v>
      </c>
      <c r="AJ89" s="4">
        <v>0</v>
      </c>
      <c r="AK89" s="4">
        <v>450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360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f>SUM(J89:BK89)</f>
        <v>3125</v>
      </c>
      <c r="BM89" s="4">
        <v>9000</v>
      </c>
      <c r="BN89" s="4">
        <v>0</v>
      </c>
      <c r="BO89" s="4">
        <v>3000</v>
      </c>
      <c r="BP89" s="4">
        <v>0</v>
      </c>
      <c r="BQ89" s="4">
        <v>0</v>
      </c>
      <c r="BR89" s="4"/>
      <c r="BT89" s="1" t="s">
        <v>215</v>
      </c>
    </row>
    <row r="90" spans="1:72" x14ac:dyDescent="0.35">
      <c r="B90" s="1" t="s">
        <v>212</v>
      </c>
      <c r="C90" s="1" t="s">
        <v>93</v>
      </c>
      <c r="H90" s="4" t="s">
        <v>216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T90" s="1" t="s">
        <v>215</v>
      </c>
    </row>
    <row r="91" spans="1:72" ht="15" thickBot="1" x14ac:dyDescent="0.4">
      <c r="B91" s="1" t="s">
        <v>212</v>
      </c>
      <c r="C91" s="1" t="s">
        <v>95</v>
      </c>
      <c r="J91" s="1">
        <f>J90-J89</f>
        <v>0</v>
      </c>
      <c r="K91" s="1">
        <f t="shared" ref="K91:AP91" si="54">K90-K89+J91</f>
        <v>0</v>
      </c>
      <c r="L91" s="1">
        <f t="shared" si="54"/>
        <v>0</v>
      </c>
      <c r="M91" s="1">
        <f t="shared" si="54"/>
        <v>0</v>
      </c>
      <c r="N91" s="1">
        <f t="shared" si="54"/>
        <v>0</v>
      </c>
      <c r="O91" s="1">
        <f t="shared" si="54"/>
        <v>-157</v>
      </c>
      <c r="P91" s="1">
        <f t="shared" si="54"/>
        <v>-157</v>
      </c>
      <c r="Q91" s="1">
        <f t="shared" si="54"/>
        <v>-157</v>
      </c>
      <c r="R91" s="1">
        <f t="shared" si="54"/>
        <v>-697</v>
      </c>
      <c r="S91" s="1">
        <f t="shared" si="54"/>
        <v>-697</v>
      </c>
      <c r="T91" s="1">
        <f t="shared" si="54"/>
        <v>-697</v>
      </c>
      <c r="U91" s="1">
        <f t="shared" si="54"/>
        <v>-697</v>
      </c>
      <c r="V91" s="1">
        <f t="shared" si="54"/>
        <v>-2047</v>
      </c>
      <c r="W91" s="1">
        <f t="shared" si="54"/>
        <v>-2047</v>
      </c>
      <c r="X91" s="1">
        <f t="shared" si="54"/>
        <v>-2047</v>
      </c>
      <c r="Y91" s="1">
        <f t="shared" si="54"/>
        <v>-2047</v>
      </c>
      <c r="Z91" s="1">
        <f t="shared" si="54"/>
        <v>-2047</v>
      </c>
      <c r="AA91" s="1">
        <f t="shared" si="54"/>
        <v>-2047</v>
      </c>
      <c r="AB91" s="1">
        <f t="shared" si="54"/>
        <v>-2047</v>
      </c>
      <c r="AC91" s="1">
        <f t="shared" si="54"/>
        <v>-2047</v>
      </c>
      <c r="AD91" s="1">
        <f t="shared" si="54"/>
        <v>-2047</v>
      </c>
      <c r="AE91" s="1">
        <f t="shared" si="54"/>
        <v>-2047</v>
      </c>
      <c r="AF91" s="1">
        <f t="shared" si="54"/>
        <v>-2315</v>
      </c>
      <c r="AG91" s="1">
        <f t="shared" si="54"/>
        <v>-2315</v>
      </c>
      <c r="AH91" s="1">
        <f t="shared" si="54"/>
        <v>-2315</v>
      </c>
      <c r="AI91" s="1">
        <f t="shared" si="54"/>
        <v>-2315</v>
      </c>
      <c r="AJ91" s="1">
        <f t="shared" si="54"/>
        <v>-2315</v>
      </c>
      <c r="AK91" s="1">
        <f t="shared" si="54"/>
        <v>-2765</v>
      </c>
      <c r="AL91" s="1">
        <f t="shared" si="54"/>
        <v>-2765</v>
      </c>
      <c r="AM91" s="1">
        <f t="shared" si="54"/>
        <v>-2765</v>
      </c>
      <c r="AN91" s="1">
        <f t="shared" si="54"/>
        <v>-2765</v>
      </c>
      <c r="AO91" s="1">
        <f t="shared" si="54"/>
        <v>-2765</v>
      </c>
      <c r="AP91" s="1">
        <f t="shared" si="54"/>
        <v>-2765</v>
      </c>
      <c r="AQ91" s="1">
        <f t="shared" ref="AQ91:BJ91" si="55">AQ90-AQ89+AP91</f>
        <v>-2765</v>
      </c>
      <c r="AR91" s="1">
        <f t="shared" si="55"/>
        <v>-2765</v>
      </c>
      <c r="AS91" s="1">
        <f t="shared" si="55"/>
        <v>-2765</v>
      </c>
      <c r="AT91" s="1">
        <f t="shared" si="55"/>
        <v>-2765</v>
      </c>
      <c r="AU91" s="1">
        <f t="shared" si="55"/>
        <v>-2765</v>
      </c>
      <c r="AV91" s="1">
        <f t="shared" si="55"/>
        <v>-2765</v>
      </c>
      <c r="AW91" s="1">
        <f t="shared" si="55"/>
        <v>-2765</v>
      </c>
      <c r="AX91" s="1">
        <f t="shared" si="55"/>
        <v>-3125</v>
      </c>
      <c r="AY91" s="1">
        <f t="shared" si="55"/>
        <v>-3125</v>
      </c>
      <c r="AZ91" s="1">
        <f t="shared" si="55"/>
        <v>-3125</v>
      </c>
      <c r="BA91" s="1">
        <f t="shared" si="55"/>
        <v>-3125</v>
      </c>
      <c r="BB91" s="1">
        <f t="shared" si="55"/>
        <v>-3125</v>
      </c>
      <c r="BC91" s="1">
        <f t="shared" si="55"/>
        <v>-3125</v>
      </c>
      <c r="BD91" s="1">
        <f t="shared" si="55"/>
        <v>-3125</v>
      </c>
      <c r="BE91" s="1">
        <f t="shared" si="55"/>
        <v>-3125</v>
      </c>
      <c r="BF91" s="1">
        <f t="shared" si="55"/>
        <v>-3125</v>
      </c>
      <c r="BG91" s="1">
        <f t="shared" si="55"/>
        <v>-3125</v>
      </c>
      <c r="BH91" s="1">
        <f t="shared" si="55"/>
        <v>-3125</v>
      </c>
      <c r="BI91" s="1">
        <f t="shared" si="55"/>
        <v>-3125</v>
      </c>
      <c r="BJ91" s="1">
        <f t="shared" si="55"/>
        <v>-3125</v>
      </c>
      <c r="BT91" s="1" t="s">
        <v>215</v>
      </c>
    </row>
    <row r="92" spans="1:72" ht="15" thickBot="1" x14ac:dyDescent="0.4">
      <c r="A92" s="1" t="s">
        <v>85</v>
      </c>
      <c r="B92" s="4" t="s">
        <v>217</v>
      </c>
      <c r="C92" s="4" t="s">
        <v>87</v>
      </c>
      <c r="D92" s="4" t="s">
        <v>88</v>
      </c>
      <c r="E92" s="4"/>
      <c r="F92" s="4"/>
      <c r="G92" s="4" t="s">
        <v>89</v>
      </c>
      <c r="H92" s="4" t="s">
        <v>218</v>
      </c>
      <c r="I92" s="4" t="s">
        <v>219</v>
      </c>
      <c r="J92" s="4">
        <v>0</v>
      </c>
      <c r="K92" s="4">
        <v>0</v>
      </c>
      <c r="L92" s="4">
        <v>0</v>
      </c>
      <c r="M92" s="4">
        <v>433</v>
      </c>
      <c r="N92" s="4">
        <v>0</v>
      </c>
      <c r="O92" s="4">
        <v>0</v>
      </c>
      <c r="P92" s="4">
        <v>0</v>
      </c>
      <c r="Q92" s="4">
        <v>0</v>
      </c>
      <c r="R92" s="4">
        <v>748</v>
      </c>
      <c r="S92" s="4">
        <v>0</v>
      </c>
      <c r="T92" s="4">
        <v>0</v>
      </c>
      <c r="U92" s="4">
        <v>0</v>
      </c>
      <c r="V92" s="4">
        <v>2693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908</v>
      </c>
      <c r="AF92" s="4">
        <v>216</v>
      </c>
      <c r="AG92" s="4">
        <v>216</v>
      </c>
      <c r="AH92" s="4">
        <v>216</v>
      </c>
      <c r="AI92" s="4">
        <v>216</v>
      </c>
      <c r="AJ92" s="4">
        <v>225</v>
      </c>
      <c r="AK92" s="4">
        <v>228</v>
      </c>
      <c r="AL92" s="4">
        <v>228</v>
      </c>
      <c r="AM92" s="4">
        <v>2273</v>
      </c>
      <c r="AN92" s="4">
        <v>274</v>
      </c>
      <c r="AO92" s="4">
        <v>364</v>
      </c>
      <c r="AP92" s="4">
        <v>455</v>
      </c>
      <c r="AQ92" s="4">
        <v>455</v>
      </c>
      <c r="AR92" s="4">
        <v>364</v>
      </c>
      <c r="AS92" s="4">
        <v>0</v>
      </c>
      <c r="AT92" s="4">
        <v>0</v>
      </c>
      <c r="AU92" s="4">
        <v>0</v>
      </c>
      <c r="AV92" s="4">
        <v>0</v>
      </c>
      <c r="AW92" s="4">
        <v>332</v>
      </c>
      <c r="AX92" s="4">
        <v>413</v>
      </c>
      <c r="AY92" s="4">
        <v>413</v>
      </c>
      <c r="AZ92" s="4">
        <v>332</v>
      </c>
      <c r="BA92" s="4">
        <v>332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f>SUM(J92:BK92)</f>
        <v>12334</v>
      </c>
      <c r="BM92" s="4">
        <v>2400</v>
      </c>
      <c r="BN92" s="4">
        <v>0</v>
      </c>
      <c r="BO92" s="4">
        <v>800</v>
      </c>
      <c r="BP92" s="4">
        <v>0</v>
      </c>
      <c r="BQ92" s="4">
        <v>0</v>
      </c>
      <c r="BR92" s="4"/>
      <c r="BT92" s="1" t="s">
        <v>220</v>
      </c>
    </row>
    <row r="93" spans="1:72" x14ac:dyDescent="0.35">
      <c r="B93" s="1" t="s">
        <v>217</v>
      </c>
      <c r="C93" s="1" t="s">
        <v>93</v>
      </c>
      <c r="H93" s="4" t="s">
        <v>221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T93" s="1" t="s">
        <v>220</v>
      </c>
    </row>
    <row r="94" spans="1:72" ht="15" thickBot="1" x14ac:dyDescent="0.4">
      <c r="B94" s="1" t="s">
        <v>217</v>
      </c>
      <c r="C94" s="1" t="s">
        <v>95</v>
      </c>
      <c r="J94" s="1">
        <f>J93-J92</f>
        <v>0</v>
      </c>
      <c r="K94" s="1">
        <f t="shared" ref="K94:AP94" si="56">K93-K92+J94</f>
        <v>0</v>
      </c>
      <c r="L94" s="1">
        <f t="shared" si="56"/>
        <v>0</v>
      </c>
      <c r="M94" s="1">
        <f t="shared" si="56"/>
        <v>-433</v>
      </c>
      <c r="N94" s="1">
        <f t="shared" si="56"/>
        <v>-433</v>
      </c>
      <c r="O94" s="1">
        <f t="shared" si="56"/>
        <v>-433</v>
      </c>
      <c r="P94" s="1">
        <f t="shared" si="56"/>
        <v>-433</v>
      </c>
      <c r="Q94" s="1">
        <f t="shared" si="56"/>
        <v>-433</v>
      </c>
      <c r="R94" s="1">
        <f t="shared" si="56"/>
        <v>-1181</v>
      </c>
      <c r="S94" s="1">
        <f t="shared" si="56"/>
        <v>-1181</v>
      </c>
      <c r="T94" s="1">
        <f t="shared" si="56"/>
        <v>-1181</v>
      </c>
      <c r="U94" s="1">
        <f t="shared" si="56"/>
        <v>-1181</v>
      </c>
      <c r="V94" s="1">
        <f t="shared" si="56"/>
        <v>-3874</v>
      </c>
      <c r="W94" s="1">
        <f t="shared" si="56"/>
        <v>-3874</v>
      </c>
      <c r="X94" s="1">
        <f t="shared" si="56"/>
        <v>-3874</v>
      </c>
      <c r="Y94" s="1">
        <f t="shared" si="56"/>
        <v>-3874</v>
      </c>
      <c r="Z94" s="1">
        <f t="shared" si="56"/>
        <v>-3874</v>
      </c>
      <c r="AA94" s="1">
        <f t="shared" si="56"/>
        <v>-3874</v>
      </c>
      <c r="AB94" s="1">
        <f t="shared" si="56"/>
        <v>-3874</v>
      </c>
      <c r="AC94" s="1">
        <f t="shared" si="56"/>
        <v>-3874</v>
      </c>
      <c r="AD94" s="1">
        <f t="shared" si="56"/>
        <v>-3874</v>
      </c>
      <c r="AE94" s="1">
        <f t="shared" si="56"/>
        <v>-4782</v>
      </c>
      <c r="AF94" s="1">
        <f t="shared" si="56"/>
        <v>-4998</v>
      </c>
      <c r="AG94" s="1">
        <f t="shared" si="56"/>
        <v>-5214</v>
      </c>
      <c r="AH94" s="1">
        <f t="shared" si="56"/>
        <v>-5430</v>
      </c>
      <c r="AI94" s="1">
        <f t="shared" si="56"/>
        <v>-5646</v>
      </c>
      <c r="AJ94" s="1">
        <f t="shared" si="56"/>
        <v>-5871</v>
      </c>
      <c r="AK94" s="1">
        <f t="shared" si="56"/>
        <v>-6099</v>
      </c>
      <c r="AL94" s="1">
        <f t="shared" si="56"/>
        <v>-6327</v>
      </c>
      <c r="AM94" s="1">
        <f t="shared" si="56"/>
        <v>-8600</v>
      </c>
      <c r="AN94" s="1">
        <f t="shared" si="56"/>
        <v>-8874</v>
      </c>
      <c r="AO94" s="1">
        <f t="shared" si="56"/>
        <v>-9238</v>
      </c>
      <c r="AP94" s="1">
        <f t="shared" si="56"/>
        <v>-9693</v>
      </c>
      <c r="AQ94" s="1">
        <f t="shared" ref="AQ94:BJ94" si="57">AQ93-AQ92+AP94</f>
        <v>-10148</v>
      </c>
      <c r="AR94" s="1">
        <f t="shared" si="57"/>
        <v>-10512</v>
      </c>
      <c r="AS94" s="1">
        <f t="shared" si="57"/>
        <v>-10512</v>
      </c>
      <c r="AT94" s="1">
        <f t="shared" si="57"/>
        <v>-10512</v>
      </c>
      <c r="AU94" s="1">
        <f t="shared" si="57"/>
        <v>-10512</v>
      </c>
      <c r="AV94" s="1">
        <f t="shared" si="57"/>
        <v>-10512</v>
      </c>
      <c r="AW94" s="1">
        <f t="shared" si="57"/>
        <v>-10844</v>
      </c>
      <c r="AX94" s="1">
        <f t="shared" si="57"/>
        <v>-11257</v>
      </c>
      <c r="AY94" s="1">
        <f t="shared" si="57"/>
        <v>-11670</v>
      </c>
      <c r="AZ94" s="1">
        <f t="shared" si="57"/>
        <v>-12002</v>
      </c>
      <c r="BA94" s="1">
        <f t="shared" si="57"/>
        <v>-12334</v>
      </c>
      <c r="BB94" s="1">
        <f t="shared" si="57"/>
        <v>-12334</v>
      </c>
      <c r="BC94" s="1">
        <f t="shared" si="57"/>
        <v>-12334</v>
      </c>
      <c r="BD94" s="1">
        <f t="shared" si="57"/>
        <v>-12334</v>
      </c>
      <c r="BE94" s="1">
        <f t="shared" si="57"/>
        <v>-12334</v>
      </c>
      <c r="BF94" s="1">
        <f t="shared" si="57"/>
        <v>-12334</v>
      </c>
      <c r="BG94" s="1">
        <f t="shared" si="57"/>
        <v>-12334</v>
      </c>
      <c r="BH94" s="1">
        <f t="shared" si="57"/>
        <v>-12334</v>
      </c>
      <c r="BI94" s="1">
        <f t="shared" si="57"/>
        <v>-12334</v>
      </c>
      <c r="BJ94" s="1">
        <f t="shared" si="57"/>
        <v>-12334</v>
      </c>
      <c r="BT94" s="1" t="s">
        <v>220</v>
      </c>
    </row>
    <row r="95" spans="1:72" ht="15" thickBot="1" x14ac:dyDescent="0.4">
      <c r="A95" s="1" t="s">
        <v>85</v>
      </c>
      <c r="B95" s="4" t="s">
        <v>222</v>
      </c>
      <c r="C95" s="4" t="s">
        <v>87</v>
      </c>
      <c r="D95" s="4" t="s">
        <v>88</v>
      </c>
      <c r="E95" s="4"/>
      <c r="F95" s="4"/>
      <c r="G95" s="4" t="s">
        <v>89</v>
      </c>
      <c r="H95" s="4" t="s">
        <v>223</v>
      </c>
      <c r="I95" s="4" t="s">
        <v>126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3140</v>
      </c>
      <c r="AB95" s="4">
        <v>0</v>
      </c>
      <c r="AC95" s="4">
        <v>0</v>
      </c>
      <c r="AD95" s="4">
        <v>0</v>
      </c>
      <c r="AE95" s="4">
        <v>7980</v>
      </c>
      <c r="AF95" s="4">
        <v>0</v>
      </c>
      <c r="AG95" s="4">
        <v>0</v>
      </c>
      <c r="AH95" s="4">
        <v>0</v>
      </c>
      <c r="AI95" s="4">
        <v>0</v>
      </c>
      <c r="AJ95" s="4">
        <v>7980</v>
      </c>
      <c r="AK95" s="4">
        <v>0</v>
      </c>
      <c r="AL95" s="4">
        <v>0</v>
      </c>
      <c r="AM95" s="4">
        <v>0</v>
      </c>
      <c r="AN95" s="4">
        <v>7980</v>
      </c>
      <c r="AO95" s="4">
        <v>0</v>
      </c>
      <c r="AP95" s="4">
        <v>0</v>
      </c>
      <c r="AQ95" s="4">
        <v>0</v>
      </c>
      <c r="AR95" s="4">
        <v>7980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f>SUM(J95:BK95)</f>
        <v>35060</v>
      </c>
      <c r="BM95" s="4">
        <v>30000</v>
      </c>
      <c r="BN95" s="4">
        <v>0</v>
      </c>
      <c r="BO95" s="4">
        <v>3000</v>
      </c>
      <c r="BP95" s="4">
        <v>0</v>
      </c>
      <c r="BQ95" s="4">
        <v>0</v>
      </c>
      <c r="BR95" s="4"/>
      <c r="BT95" s="1" t="s">
        <v>224</v>
      </c>
    </row>
    <row r="96" spans="1:72" x14ac:dyDescent="0.35">
      <c r="B96" s="1" t="s">
        <v>222</v>
      </c>
      <c r="C96" s="1" t="s">
        <v>93</v>
      </c>
      <c r="H96" s="4" t="s">
        <v>225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T96" s="1" t="s">
        <v>224</v>
      </c>
    </row>
    <row r="97" spans="1:72" ht="15" thickBot="1" x14ac:dyDescent="0.4">
      <c r="B97" s="1" t="s">
        <v>222</v>
      </c>
      <c r="C97" s="1" t="s">
        <v>95</v>
      </c>
      <c r="J97" s="1">
        <f>J96-J95</f>
        <v>0</v>
      </c>
      <c r="K97" s="1">
        <f t="shared" ref="K97:AP97" si="58">K96-K95+J97</f>
        <v>0</v>
      </c>
      <c r="L97" s="1">
        <f t="shared" si="58"/>
        <v>0</v>
      </c>
      <c r="M97" s="1">
        <f t="shared" si="58"/>
        <v>0</v>
      </c>
      <c r="N97" s="1">
        <f t="shared" si="58"/>
        <v>0</v>
      </c>
      <c r="O97" s="1">
        <f t="shared" si="58"/>
        <v>0</v>
      </c>
      <c r="P97" s="1">
        <f t="shared" si="58"/>
        <v>0</v>
      </c>
      <c r="Q97" s="1">
        <f t="shared" si="58"/>
        <v>0</v>
      </c>
      <c r="R97" s="1">
        <f t="shared" si="58"/>
        <v>0</v>
      </c>
      <c r="S97" s="1">
        <f t="shared" si="58"/>
        <v>0</v>
      </c>
      <c r="T97" s="1">
        <f t="shared" si="58"/>
        <v>0</v>
      </c>
      <c r="U97" s="1">
        <f t="shared" si="58"/>
        <v>0</v>
      </c>
      <c r="V97" s="1">
        <f t="shared" si="58"/>
        <v>0</v>
      </c>
      <c r="W97" s="1">
        <f t="shared" si="58"/>
        <v>0</v>
      </c>
      <c r="X97" s="1">
        <f t="shared" si="58"/>
        <v>0</v>
      </c>
      <c r="Y97" s="1">
        <f t="shared" si="58"/>
        <v>0</v>
      </c>
      <c r="Z97" s="1">
        <f t="shared" si="58"/>
        <v>0</v>
      </c>
      <c r="AA97" s="1">
        <f t="shared" si="58"/>
        <v>-3140</v>
      </c>
      <c r="AB97" s="1">
        <f t="shared" si="58"/>
        <v>-3140</v>
      </c>
      <c r="AC97" s="1">
        <f t="shared" si="58"/>
        <v>-3140</v>
      </c>
      <c r="AD97" s="1">
        <f t="shared" si="58"/>
        <v>-3140</v>
      </c>
      <c r="AE97" s="1">
        <f t="shared" si="58"/>
        <v>-11120</v>
      </c>
      <c r="AF97" s="1">
        <f t="shared" si="58"/>
        <v>-11120</v>
      </c>
      <c r="AG97" s="1">
        <f t="shared" si="58"/>
        <v>-11120</v>
      </c>
      <c r="AH97" s="1">
        <f t="shared" si="58"/>
        <v>-11120</v>
      </c>
      <c r="AI97" s="1">
        <f t="shared" si="58"/>
        <v>-11120</v>
      </c>
      <c r="AJ97" s="1">
        <f t="shared" si="58"/>
        <v>-19100</v>
      </c>
      <c r="AK97" s="1">
        <f t="shared" si="58"/>
        <v>-19100</v>
      </c>
      <c r="AL97" s="1">
        <f t="shared" si="58"/>
        <v>-19100</v>
      </c>
      <c r="AM97" s="1">
        <f t="shared" si="58"/>
        <v>-19100</v>
      </c>
      <c r="AN97" s="1">
        <f t="shared" si="58"/>
        <v>-27080</v>
      </c>
      <c r="AO97" s="1">
        <f t="shared" si="58"/>
        <v>-27080</v>
      </c>
      <c r="AP97" s="1">
        <f t="shared" si="58"/>
        <v>-27080</v>
      </c>
      <c r="AQ97" s="1">
        <f t="shared" ref="AQ97:BJ97" si="59">AQ96-AQ95+AP97</f>
        <v>-27080</v>
      </c>
      <c r="AR97" s="1">
        <f t="shared" si="59"/>
        <v>-35060</v>
      </c>
      <c r="AS97" s="1">
        <f t="shared" si="59"/>
        <v>-35060</v>
      </c>
      <c r="AT97" s="1">
        <f t="shared" si="59"/>
        <v>-35060</v>
      </c>
      <c r="AU97" s="1">
        <f t="shared" si="59"/>
        <v>-35060</v>
      </c>
      <c r="AV97" s="1">
        <f t="shared" si="59"/>
        <v>-35060</v>
      </c>
      <c r="AW97" s="1">
        <f t="shared" si="59"/>
        <v>-35060</v>
      </c>
      <c r="AX97" s="1">
        <f t="shared" si="59"/>
        <v>-35060</v>
      </c>
      <c r="AY97" s="1">
        <f t="shared" si="59"/>
        <v>-35060</v>
      </c>
      <c r="AZ97" s="1">
        <f t="shared" si="59"/>
        <v>-35060</v>
      </c>
      <c r="BA97" s="1">
        <f t="shared" si="59"/>
        <v>-35060</v>
      </c>
      <c r="BB97" s="1">
        <f t="shared" si="59"/>
        <v>-35060</v>
      </c>
      <c r="BC97" s="1">
        <f t="shared" si="59"/>
        <v>-35060</v>
      </c>
      <c r="BD97" s="1">
        <f t="shared" si="59"/>
        <v>-35060</v>
      </c>
      <c r="BE97" s="1">
        <f t="shared" si="59"/>
        <v>-35060</v>
      </c>
      <c r="BF97" s="1">
        <f t="shared" si="59"/>
        <v>-35060</v>
      </c>
      <c r="BG97" s="1">
        <f t="shared" si="59"/>
        <v>-35060</v>
      </c>
      <c r="BH97" s="1">
        <f t="shared" si="59"/>
        <v>-35060</v>
      </c>
      <c r="BI97" s="1">
        <f t="shared" si="59"/>
        <v>-35060</v>
      </c>
      <c r="BJ97" s="1">
        <f t="shared" si="59"/>
        <v>-35060</v>
      </c>
      <c r="BT97" s="1" t="s">
        <v>224</v>
      </c>
    </row>
    <row r="98" spans="1:72" ht="15" thickBot="1" x14ac:dyDescent="0.4">
      <c r="A98" s="1" t="s">
        <v>85</v>
      </c>
      <c r="B98" s="4" t="s">
        <v>226</v>
      </c>
      <c r="C98" s="4" t="s">
        <v>87</v>
      </c>
      <c r="D98" s="4" t="s">
        <v>88</v>
      </c>
      <c r="E98" s="4"/>
      <c r="F98" s="4"/>
      <c r="G98" s="4" t="s">
        <v>89</v>
      </c>
      <c r="H98" s="4" t="s">
        <v>227</v>
      </c>
      <c r="I98" s="4" t="s">
        <v>149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604</v>
      </c>
      <c r="X98" s="4">
        <v>3200</v>
      </c>
      <c r="Y98" s="4">
        <v>0</v>
      </c>
      <c r="Z98" s="4">
        <v>6990</v>
      </c>
      <c r="AA98" s="4">
        <v>3200</v>
      </c>
      <c r="AB98" s="4">
        <v>3200</v>
      </c>
      <c r="AC98" s="4">
        <v>0</v>
      </c>
      <c r="AD98" s="4">
        <v>0</v>
      </c>
      <c r="AE98" s="4">
        <v>3200</v>
      </c>
      <c r="AF98" s="4">
        <v>10190</v>
      </c>
      <c r="AG98" s="4">
        <v>0</v>
      </c>
      <c r="AH98" s="4">
        <v>0</v>
      </c>
      <c r="AI98" s="4">
        <v>0</v>
      </c>
      <c r="AJ98" s="4">
        <v>10220</v>
      </c>
      <c r="AK98" s="4">
        <v>2400</v>
      </c>
      <c r="AL98" s="4">
        <v>0</v>
      </c>
      <c r="AM98" s="4">
        <v>6990</v>
      </c>
      <c r="AN98" s="4">
        <v>3200</v>
      </c>
      <c r="AO98" s="4">
        <v>2400</v>
      </c>
      <c r="AP98" s="4">
        <v>0</v>
      </c>
      <c r="AQ98" s="4">
        <v>0</v>
      </c>
      <c r="AR98" s="4">
        <v>3200</v>
      </c>
      <c r="AS98" s="4">
        <v>9390</v>
      </c>
      <c r="AT98" s="4">
        <v>0</v>
      </c>
      <c r="AU98" s="4">
        <v>0</v>
      </c>
      <c r="AV98" s="4">
        <v>3200</v>
      </c>
      <c r="AW98" s="4">
        <v>8140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f>SUM(J98:BK98)</f>
        <v>79724</v>
      </c>
      <c r="BM98" s="4">
        <v>40000</v>
      </c>
      <c r="BN98" s="4">
        <v>0</v>
      </c>
      <c r="BO98" s="4">
        <v>5000</v>
      </c>
      <c r="BP98" s="4">
        <v>0</v>
      </c>
      <c r="BQ98" s="4">
        <v>0</v>
      </c>
      <c r="BR98" s="4"/>
      <c r="BT98" s="1" t="s">
        <v>228</v>
      </c>
    </row>
    <row r="99" spans="1:72" x14ac:dyDescent="0.35">
      <c r="B99" s="1" t="s">
        <v>226</v>
      </c>
      <c r="C99" s="1" t="s">
        <v>93</v>
      </c>
      <c r="H99" s="4" t="s">
        <v>229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T99" s="1" t="s">
        <v>228</v>
      </c>
    </row>
    <row r="100" spans="1:72" ht="15" thickBot="1" x14ac:dyDescent="0.4">
      <c r="B100" s="1" t="s">
        <v>226</v>
      </c>
      <c r="C100" s="1" t="s">
        <v>95</v>
      </c>
      <c r="J100" s="1">
        <f>J99-J98</f>
        <v>0</v>
      </c>
      <c r="K100" s="1">
        <f t="shared" ref="K100:AP100" si="60">K99-K98+J100</f>
        <v>0</v>
      </c>
      <c r="L100" s="1">
        <f t="shared" si="60"/>
        <v>0</v>
      </c>
      <c r="M100" s="1">
        <f t="shared" si="60"/>
        <v>0</v>
      </c>
      <c r="N100" s="1">
        <f t="shared" si="60"/>
        <v>0</v>
      </c>
      <c r="O100" s="1">
        <f t="shared" si="60"/>
        <v>0</v>
      </c>
      <c r="P100" s="1">
        <f t="shared" si="60"/>
        <v>0</v>
      </c>
      <c r="Q100" s="1">
        <f t="shared" si="60"/>
        <v>0</v>
      </c>
      <c r="R100" s="1">
        <f t="shared" si="60"/>
        <v>0</v>
      </c>
      <c r="S100" s="1">
        <f t="shared" si="60"/>
        <v>0</v>
      </c>
      <c r="T100" s="1">
        <f t="shared" si="60"/>
        <v>0</v>
      </c>
      <c r="U100" s="1">
        <f t="shared" si="60"/>
        <v>0</v>
      </c>
      <c r="V100" s="1">
        <f t="shared" si="60"/>
        <v>0</v>
      </c>
      <c r="W100" s="1">
        <f t="shared" si="60"/>
        <v>-604</v>
      </c>
      <c r="X100" s="1">
        <f t="shared" si="60"/>
        <v>-3804</v>
      </c>
      <c r="Y100" s="1">
        <f t="shared" si="60"/>
        <v>-3804</v>
      </c>
      <c r="Z100" s="1">
        <f t="shared" si="60"/>
        <v>-10794</v>
      </c>
      <c r="AA100" s="1">
        <f t="shared" si="60"/>
        <v>-13994</v>
      </c>
      <c r="AB100" s="1">
        <f t="shared" si="60"/>
        <v>-17194</v>
      </c>
      <c r="AC100" s="1">
        <f t="shared" si="60"/>
        <v>-17194</v>
      </c>
      <c r="AD100" s="1">
        <f t="shared" si="60"/>
        <v>-17194</v>
      </c>
      <c r="AE100" s="1">
        <f t="shared" si="60"/>
        <v>-20394</v>
      </c>
      <c r="AF100" s="1">
        <f t="shared" si="60"/>
        <v>-30584</v>
      </c>
      <c r="AG100" s="1">
        <f t="shared" si="60"/>
        <v>-30584</v>
      </c>
      <c r="AH100" s="1">
        <f t="shared" si="60"/>
        <v>-30584</v>
      </c>
      <c r="AI100" s="1">
        <f t="shared" si="60"/>
        <v>-30584</v>
      </c>
      <c r="AJ100" s="1">
        <f t="shared" si="60"/>
        <v>-40804</v>
      </c>
      <c r="AK100" s="1">
        <f t="shared" si="60"/>
        <v>-43204</v>
      </c>
      <c r="AL100" s="1">
        <f t="shared" si="60"/>
        <v>-43204</v>
      </c>
      <c r="AM100" s="1">
        <f t="shared" si="60"/>
        <v>-50194</v>
      </c>
      <c r="AN100" s="1">
        <f t="shared" si="60"/>
        <v>-53394</v>
      </c>
      <c r="AO100" s="1">
        <f t="shared" si="60"/>
        <v>-55794</v>
      </c>
      <c r="AP100" s="1">
        <f t="shared" si="60"/>
        <v>-55794</v>
      </c>
      <c r="AQ100" s="1">
        <f t="shared" ref="AQ100:BJ100" si="61">AQ99-AQ98+AP100</f>
        <v>-55794</v>
      </c>
      <c r="AR100" s="1">
        <f t="shared" si="61"/>
        <v>-58994</v>
      </c>
      <c r="AS100" s="1">
        <f t="shared" si="61"/>
        <v>-68384</v>
      </c>
      <c r="AT100" s="1">
        <f t="shared" si="61"/>
        <v>-68384</v>
      </c>
      <c r="AU100" s="1">
        <f t="shared" si="61"/>
        <v>-68384</v>
      </c>
      <c r="AV100" s="1">
        <f t="shared" si="61"/>
        <v>-71584</v>
      </c>
      <c r="AW100" s="1">
        <f t="shared" si="61"/>
        <v>-79724</v>
      </c>
      <c r="AX100" s="1">
        <f t="shared" si="61"/>
        <v>-79724</v>
      </c>
      <c r="AY100" s="1">
        <f t="shared" si="61"/>
        <v>-79724</v>
      </c>
      <c r="AZ100" s="1">
        <f t="shared" si="61"/>
        <v>-79724</v>
      </c>
      <c r="BA100" s="1">
        <f t="shared" si="61"/>
        <v>-79724</v>
      </c>
      <c r="BB100" s="1">
        <f t="shared" si="61"/>
        <v>-79724</v>
      </c>
      <c r="BC100" s="1">
        <f t="shared" si="61"/>
        <v>-79724</v>
      </c>
      <c r="BD100" s="1">
        <f t="shared" si="61"/>
        <v>-79724</v>
      </c>
      <c r="BE100" s="1">
        <f t="shared" si="61"/>
        <v>-79724</v>
      </c>
      <c r="BF100" s="1">
        <f t="shared" si="61"/>
        <v>-79724</v>
      </c>
      <c r="BG100" s="1">
        <f t="shared" si="61"/>
        <v>-79724</v>
      </c>
      <c r="BH100" s="1">
        <f t="shared" si="61"/>
        <v>-79724</v>
      </c>
      <c r="BI100" s="1">
        <f t="shared" si="61"/>
        <v>-79724</v>
      </c>
      <c r="BJ100" s="1">
        <f t="shared" si="61"/>
        <v>-79724</v>
      </c>
      <c r="BT100" s="1" t="s">
        <v>228</v>
      </c>
    </row>
    <row r="101" spans="1:72" ht="15" thickBot="1" x14ac:dyDescent="0.4">
      <c r="A101" s="1" t="s">
        <v>85</v>
      </c>
      <c r="B101" s="4" t="s">
        <v>230</v>
      </c>
      <c r="C101" s="4" t="s">
        <v>87</v>
      </c>
      <c r="D101" s="4" t="s">
        <v>88</v>
      </c>
      <c r="E101" s="4"/>
      <c r="F101" s="4"/>
      <c r="G101" s="4" t="s">
        <v>89</v>
      </c>
      <c r="H101" s="4" t="s">
        <v>231</v>
      </c>
      <c r="I101" s="4" t="s">
        <v>111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1790</v>
      </c>
      <c r="S101" s="4">
        <v>0</v>
      </c>
      <c r="T101" s="4">
        <v>0</v>
      </c>
      <c r="U101" s="4">
        <v>0</v>
      </c>
      <c r="V101" s="4">
        <v>8323</v>
      </c>
      <c r="W101" s="4">
        <v>0</v>
      </c>
      <c r="X101" s="4">
        <v>0</v>
      </c>
      <c r="Y101" s="4">
        <v>0</v>
      </c>
      <c r="Z101" s="4">
        <v>4893</v>
      </c>
      <c r="AA101" s="4">
        <v>35</v>
      </c>
      <c r="AB101" s="4">
        <v>0</v>
      </c>
      <c r="AC101" s="4">
        <v>0</v>
      </c>
      <c r="AD101" s="4">
        <v>0</v>
      </c>
      <c r="AE101" s="4">
        <v>0</v>
      </c>
      <c r="AF101" s="4">
        <v>6675</v>
      </c>
      <c r="AG101" s="4">
        <v>994</v>
      </c>
      <c r="AH101" s="4">
        <v>0</v>
      </c>
      <c r="AI101" s="4">
        <v>0</v>
      </c>
      <c r="AJ101" s="4">
        <v>4914</v>
      </c>
      <c r="AK101" s="4">
        <v>0</v>
      </c>
      <c r="AL101" s="4">
        <v>0</v>
      </c>
      <c r="AM101" s="4">
        <v>4893</v>
      </c>
      <c r="AN101" s="4">
        <v>2700</v>
      </c>
      <c r="AO101" s="4">
        <v>432</v>
      </c>
      <c r="AP101" s="4">
        <v>0</v>
      </c>
      <c r="AQ101" s="4">
        <v>0</v>
      </c>
      <c r="AR101" s="4">
        <v>0</v>
      </c>
      <c r="AS101" s="4">
        <v>4893</v>
      </c>
      <c r="AT101" s="4">
        <v>0</v>
      </c>
      <c r="AU101" s="4">
        <v>0</v>
      </c>
      <c r="AV101" s="4">
        <v>0</v>
      </c>
      <c r="AW101" s="4">
        <v>4914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f>SUM(J101:BK101)</f>
        <v>45456</v>
      </c>
      <c r="BM101" s="4">
        <v>30400</v>
      </c>
      <c r="BN101" s="4">
        <v>0</v>
      </c>
      <c r="BO101" s="4">
        <v>800</v>
      </c>
      <c r="BP101" s="4">
        <v>0</v>
      </c>
      <c r="BQ101" s="4">
        <v>0</v>
      </c>
      <c r="BR101" s="4"/>
      <c r="BT101" s="1" t="s">
        <v>232</v>
      </c>
    </row>
    <row r="102" spans="1:72" x14ac:dyDescent="0.35">
      <c r="B102" s="1" t="s">
        <v>230</v>
      </c>
      <c r="C102" s="1" t="s">
        <v>93</v>
      </c>
      <c r="H102" s="4" t="s">
        <v>233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T102" s="1" t="s">
        <v>232</v>
      </c>
    </row>
    <row r="103" spans="1:72" ht="15" thickBot="1" x14ac:dyDescent="0.4">
      <c r="B103" s="1" t="s">
        <v>230</v>
      </c>
      <c r="C103" s="1" t="s">
        <v>95</v>
      </c>
      <c r="J103" s="1">
        <f>J102-J101</f>
        <v>0</v>
      </c>
      <c r="K103" s="1">
        <f t="shared" ref="K103:AP103" si="62">K102-K101+J103</f>
        <v>0</v>
      </c>
      <c r="L103" s="1">
        <f t="shared" si="62"/>
        <v>0</v>
      </c>
      <c r="M103" s="1">
        <f t="shared" si="62"/>
        <v>0</v>
      </c>
      <c r="N103" s="1">
        <f t="shared" si="62"/>
        <v>0</v>
      </c>
      <c r="O103" s="1">
        <f t="shared" si="62"/>
        <v>0</v>
      </c>
      <c r="P103" s="1">
        <f t="shared" si="62"/>
        <v>0</v>
      </c>
      <c r="Q103" s="1">
        <f t="shared" si="62"/>
        <v>0</v>
      </c>
      <c r="R103" s="1">
        <f t="shared" si="62"/>
        <v>-1790</v>
      </c>
      <c r="S103" s="1">
        <f t="shared" si="62"/>
        <v>-1790</v>
      </c>
      <c r="T103" s="1">
        <f t="shared" si="62"/>
        <v>-1790</v>
      </c>
      <c r="U103" s="1">
        <f t="shared" si="62"/>
        <v>-1790</v>
      </c>
      <c r="V103" s="1">
        <f t="shared" si="62"/>
        <v>-10113</v>
      </c>
      <c r="W103" s="1">
        <f t="shared" si="62"/>
        <v>-10113</v>
      </c>
      <c r="X103" s="1">
        <f t="shared" si="62"/>
        <v>-10113</v>
      </c>
      <c r="Y103" s="1">
        <f t="shared" si="62"/>
        <v>-10113</v>
      </c>
      <c r="Z103" s="1">
        <f t="shared" si="62"/>
        <v>-15006</v>
      </c>
      <c r="AA103" s="1">
        <f t="shared" si="62"/>
        <v>-15041</v>
      </c>
      <c r="AB103" s="1">
        <f t="shared" si="62"/>
        <v>-15041</v>
      </c>
      <c r="AC103" s="1">
        <f t="shared" si="62"/>
        <v>-15041</v>
      </c>
      <c r="AD103" s="1">
        <f t="shared" si="62"/>
        <v>-15041</v>
      </c>
      <c r="AE103" s="1">
        <f t="shared" si="62"/>
        <v>-15041</v>
      </c>
      <c r="AF103" s="1">
        <f t="shared" si="62"/>
        <v>-21716</v>
      </c>
      <c r="AG103" s="1">
        <f t="shared" si="62"/>
        <v>-22710</v>
      </c>
      <c r="AH103" s="1">
        <f t="shared" si="62"/>
        <v>-22710</v>
      </c>
      <c r="AI103" s="1">
        <f t="shared" si="62"/>
        <v>-22710</v>
      </c>
      <c r="AJ103" s="1">
        <f t="shared" si="62"/>
        <v>-27624</v>
      </c>
      <c r="AK103" s="1">
        <f t="shared" si="62"/>
        <v>-27624</v>
      </c>
      <c r="AL103" s="1">
        <f t="shared" si="62"/>
        <v>-27624</v>
      </c>
      <c r="AM103" s="1">
        <f t="shared" si="62"/>
        <v>-32517</v>
      </c>
      <c r="AN103" s="1">
        <f t="shared" si="62"/>
        <v>-35217</v>
      </c>
      <c r="AO103" s="1">
        <f t="shared" si="62"/>
        <v>-35649</v>
      </c>
      <c r="AP103" s="1">
        <f t="shared" si="62"/>
        <v>-35649</v>
      </c>
      <c r="AQ103" s="1">
        <f t="shared" ref="AQ103:BJ103" si="63">AQ102-AQ101+AP103</f>
        <v>-35649</v>
      </c>
      <c r="AR103" s="1">
        <f t="shared" si="63"/>
        <v>-35649</v>
      </c>
      <c r="AS103" s="1">
        <f t="shared" si="63"/>
        <v>-40542</v>
      </c>
      <c r="AT103" s="1">
        <f t="shared" si="63"/>
        <v>-40542</v>
      </c>
      <c r="AU103" s="1">
        <f t="shared" si="63"/>
        <v>-40542</v>
      </c>
      <c r="AV103" s="1">
        <f t="shared" si="63"/>
        <v>-40542</v>
      </c>
      <c r="AW103" s="1">
        <f t="shared" si="63"/>
        <v>-45456</v>
      </c>
      <c r="AX103" s="1">
        <f t="shared" si="63"/>
        <v>-45456</v>
      </c>
      <c r="AY103" s="1">
        <f t="shared" si="63"/>
        <v>-45456</v>
      </c>
      <c r="AZ103" s="1">
        <f t="shared" si="63"/>
        <v>-45456</v>
      </c>
      <c r="BA103" s="1">
        <f t="shared" si="63"/>
        <v>-45456</v>
      </c>
      <c r="BB103" s="1">
        <f t="shared" si="63"/>
        <v>-45456</v>
      </c>
      <c r="BC103" s="1">
        <f t="shared" si="63"/>
        <v>-45456</v>
      </c>
      <c r="BD103" s="1">
        <f t="shared" si="63"/>
        <v>-45456</v>
      </c>
      <c r="BE103" s="1">
        <f t="shared" si="63"/>
        <v>-45456</v>
      </c>
      <c r="BF103" s="1">
        <f t="shared" si="63"/>
        <v>-45456</v>
      </c>
      <c r="BG103" s="1">
        <f t="shared" si="63"/>
        <v>-45456</v>
      </c>
      <c r="BH103" s="1">
        <f t="shared" si="63"/>
        <v>-45456</v>
      </c>
      <c r="BI103" s="1">
        <f t="shared" si="63"/>
        <v>-45456</v>
      </c>
      <c r="BJ103" s="1">
        <f t="shared" si="63"/>
        <v>-45456</v>
      </c>
      <c r="BT103" s="1" t="s">
        <v>232</v>
      </c>
    </row>
    <row r="104" spans="1:72" ht="15" thickBot="1" x14ac:dyDescent="0.4">
      <c r="A104" s="1" t="s">
        <v>85</v>
      </c>
      <c r="B104" s="4" t="s">
        <v>234</v>
      </c>
      <c r="C104" s="4" t="s">
        <v>87</v>
      </c>
      <c r="D104" s="4" t="s">
        <v>88</v>
      </c>
      <c r="E104" s="4"/>
      <c r="F104" s="4"/>
      <c r="G104" s="4" t="s">
        <v>89</v>
      </c>
      <c r="H104" s="4" t="s">
        <v>235</v>
      </c>
      <c r="I104" s="4" t="s">
        <v>236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1803</v>
      </c>
      <c r="AG104" s="4">
        <v>0</v>
      </c>
      <c r="AH104" s="4">
        <v>0</v>
      </c>
      <c r="AI104" s="4">
        <v>0</v>
      </c>
      <c r="AJ104" s="4">
        <v>7820</v>
      </c>
      <c r="AK104" s="4">
        <v>600</v>
      </c>
      <c r="AL104" s="4">
        <v>0</v>
      </c>
      <c r="AM104" s="4">
        <v>0</v>
      </c>
      <c r="AN104" s="4">
        <v>7790</v>
      </c>
      <c r="AO104" s="4">
        <v>600</v>
      </c>
      <c r="AP104" s="4">
        <v>0</v>
      </c>
      <c r="AQ104" s="4">
        <v>0</v>
      </c>
      <c r="AR104" s="4">
        <v>800</v>
      </c>
      <c r="AS104" s="4">
        <v>7590</v>
      </c>
      <c r="AT104" s="4">
        <v>0</v>
      </c>
      <c r="AU104" s="4">
        <v>0</v>
      </c>
      <c r="AV104" s="4">
        <v>800</v>
      </c>
      <c r="AW104" s="4">
        <v>7300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f>SUM(J104:BK104)</f>
        <v>35103</v>
      </c>
      <c r="BM104" s="4">
        <v>0</v>
      </c>
      <c r="BN104" s="4">
        <v>0</v>
      </c>
      <c r="BO104" s="4">
        <v>3000</v>
      </c>
      <c r="BP104" s="4">
        <v>0</v>
      </c>
      <c r="BQ104" s="4">
        <v>0</v>
      </c>
      <c r="BR104" s="4"/>
      <c r="BT104" s="1" t="s">
        <v>237</v>
      </c>
    </row>
    <row r="105" spans="1:72" x14ac:dyDescent="0.35">
      <c r="B105" s="1" t="s">
        <v>234</v>
      </c>
      <c r="C105" s="1" t="s">
        <v>93</v>
      </c>
      <c r="H105" s="4" t="s">
        <v>238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T105" s="1" t="s">
        <v>237</v>
      </c>
    </row>
    <row r="106" spans="1:72" ht="15" thickBot="1" x14ac:dyDescent="0.4">
      <c r="B106" s="1" t="s">
        <v>234</v>
      </c>
      <c r="C106" s="1" t="s">
        <v>95</v>
      </c>
      <c r="J106" s="1">
        <f>J105-J104</f>
        <v>0</v>
      </c>
      <c r="K106" s="1">
        <f t="shared" ref="K106:AP106" si="64">K105-K104+J106</f>
        <v>0</v>
      </c>
      <c r="L106" s="1">
        <f t="shared" si="64"/>
        <v>0</v>
      </c>
      <c r="M106" s="1">
        <f t="shared" si="64"/>
        <v>0</v>
      </c>
      <c r="N106" s="1">
        <f t="shared" si="64"/>
        <v>0</v>
      </c>
      <c r="O106" s="1">
        <f t="shared" si="64"/>
        <v>0</v>
      </c>
      <c r="P106" s="1">
        <f t="shared" si="64"/>
        <v>0</v>
      </c>
      <c r="Q106" s="1">
        <f t="shared" si="64"/>
        <v>0</v>
      </c>
      <c r="R106" s="1">
        <f t="shared" si="64"/>
        <v>0</v>
      </c>
      <c r="S106" s="1">
        <f t="shared" si="64"/>
        <v>0</v>
      </c>
      <c r="T106" s="1">
        <f t="shared" si="64"/>
        <v>0</v>
      </c>
      <c r="U106" s="1">
        <f t="shared" si="64"/>
        <v>0</v>
      </c>
      <c r="V106" s="1">
        <f t="shared" si="64"/>
        <v>0</v>
      </c>
      <c r="W106" s="1">
        <f t="shared" si="64"/>
        <v>0</v>
      </c>
      <c r="X106" s="1">
        <f t="shared" si="64"/>
        <v>0</v>
      </c>
      <c r="Y106" s="1">
        <f t="shared" si="64"/>
        <v>0</v>
      </c>
      <c r="Z106" s="1">
        <f t="shared" si="64"/>
        <v>0</v>
      </c>
      <c r="AA106" s="1">
        <f t="shared" si="64"/>
        <v>0</v>
      </c>
      <c r="AB106" s="1">
        <f t="shared" si="64"/>
        <v>0</v>
      </c>
      <c r="AC106" s="1">
        <f t="shared" si="64"/>
        <v>0</v>
      </c>
      <c r="AD106" s="1">
        <f t="shared" si="64"/>
        <v>0</v>
      </c>
      <c r="AE106" s="1">
        <f t="shared" si="64"/>
        <v>0</v>
      </c>
      <c r="AF106" s="1">
        <f t="shared" si="64"/>
        <v>-1803</v>
      </c>
      <c r="AG106" s="1">
        <f t="shared" si="64"/>
        <v>-1803</v>
      </c>
      <c r="AH106" s="1">
        <f t="shared" si="64"/>
        <v>-1803</v>
      </c>
      <c r="AI106" s="1">
        <f t="shared" si="64"/>
        <v>-1803</v>
      </c>
      <c r="AJ106" s="1">
        <f t="shared" si="64"/>
        <v>-9623</v>
      </c>
      <c r="AK106" s="1">
        <f t="shared" si="64"/>
        <v>-10223</v>
      </c>
      <c r="AL106" s="1">
        <f t="shared" si="64"/>
        <v>-10223</v>
      </c>
      <c r="AM106" s="1">
        <f t="shared" si="64"/>
        <v>-10223</v>
      </c>
      <c r="AN106" s="1">
        <f t="shared" si="64"/>
        <v>-18013</v>
      </c>
      <c r="AO106" s="1">
        <f t="shared" si="64"/>
        <v>-18613</v>
      </c>
      <c r="AP106" s="1">
        <f t="shared" si="64"/>
        <v>-18613</v>
      </c>
      <c r="AQ106" s="1">
        <f t="shared" ref="AQ106:BJ106" si="65">AQ105-AQ104+AP106</f>
        <v>-18613</v>
      </c>
      <c r="AR106" s="1">
        <f t="shared" si="65"/>
        <v>-19413</v>
      </c>
      <c r="AS106" s="1">
        <f t="shared" si="65"/>
        <v>-27003</v>
      </c>
      <c r="AT106" s="1">
        <f t="shared" si="65"/>
        <v>-27003</v>
      </c>
      <c r="AU106" s="1">
        <f t="shared" si="65"/>
        <v>-27003</v>
      </c>
      <c r="AV106" s="1">
        <f t="shared" si="65"/>
        <v>-27803</v>
      </c>
      <c r="AW106" s="1">
        <f t="shared" si="65"/>
        <v>-35103</v>
      </c>
      <c r="AX106" s="1">
        <f t="shared" si="65"/>
        <v>-35103</v>
      </c>
      <c r="AY106" s="1">
        <f t="shared" si="65"/>
        <v>-35103</v>
      </c>
      <c r="AZ106" s="1">
        <f t="shared" si="65"/>
        <v>-35103</v>
      </c>
      <c r="BA106" s="1">
        <f t="shared" si="65"/>
        <v>-35103</v>
      </c>
      <c r="BB106" s="1">
        <f t="shared" si="65"/>
        <v>-35103</v>
      </c>
      <c r="BC106" s="1">
        <f t="shared" si="65"/>
        <v>-35103</v>
      </c>
      <c r="BD106" s="1">
        <f t="shared" si="65"/>
        <v>-35103</v>
      </c>
      <c r="BE106" s="1">
        <f t="shared" si="65"/>
        <v>-35103</v>
      </c>
      <c r="BF106" s="1">
        <f t="shared" si="65"/>
        <v>-35103</v>
      </c>
      <c r="BG106" s="1">
        <f t="shared" si="65"/>
        <v>-35103</v>
      </c>
      <c r="BH106" s="1">
        <f t="shared" si="65"/>
        <v>-35103</v>
      </c>
      <c r="BI106" s="1">
        <f t="shared" si="65"/>
        <v>-35103</v>
      </c>
      <c r="BJ106" s="1">
        <f t="shared" si="65"/>
        <v>-35103</v>
      </c>
      <c r="BT106" s="1" t="s">
        <v>237</v>
      </c>
    </row>
    <row r="107" spans="1:72" ht="15" thickBot="1" x14ac:dyDescent="0.4">
      <c r="A107" s="1" t="s">
        <v>85</v>
      </c>
      <c r="B107" s="4" t="s">
        <v>239</v>
      </c>
      <c r="C107" s="4" t="s">
        <v>87</v>
      </c>
      <c r="D107" s="4" t="s">
        <v>88</v>
      </c>
      <c r="E107" s="4"/>
      <c r="F107" s="4"/>
      <c r="G107" s="4" t="s">
        <v>89</v>
      </c>
      <c r="H107" s="4" t="s">
        <v>240</v>
      </c>
      <c r="I107" s="4" t="s">
        <v>236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2375</v>
      </c>
      <c r="AF107" s="4">
        <v>7495</v>
      </c>
      <c r="AG107" s="4">
        <v>0</v>
      </c>
      <c r="AH107" s="4">
        <v>0</v>
      </c>
      <c r="AI107" s="4">
        <v>0</v>
      </c>
      <c r="AJ107" s="4">
        <v>7510</v>
      </c>
      <c r="AK107" s="4">
        <v>3000</v>
      </c>
      <c r="AL107" s="4">
        <v>0</v>
      </c>
      <c r="AM107" s="4">
        <v>6495</v>
      </c>
      <c r="AN107" s="4">
        <v>4000</v>
      </c>
      <c r="AO107" s="4">
        <v>0</v>
      </c>
      <c r="AP107" s="4">
        <v>0</v>
      </c>
      <c r="AQ107" s="4">
        <v>0</v>
      </c>
      <c r="AR107" s="4">
        <v>4000</v>
      </c>
      <c r="AS107" s="4">
        <v>6495</v>
      </c>
      <c r="AT107" s="4">
        <v>0</v>
      </c>
      <c r="AU107" s="4">
        <v>0</v>
      </c>
      <c r="AV107" s="4">
        <v>4000</v>
      </c>
      <c r="AW107" s="4">
        <v>4910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f>SUM(J107:BK107)</f>
        <v>50280</v>
      </c>
      <c r="BM107" s="4">
        <v>21000</v>
      </c>
      <c r="BN107" s="4">
        <v>0</v>
      </c>
      <c r="BO107" s="4">
        <v>3000</v>
      </c>
      <c r="BP107" s="4">
        <v>0</v>
      </c>
      <c r="BQ107" s="4">
        <v>0</v>
      </c>
      <c r="BR107" s="4"/>
      <c r="BT107" s="1" t="s">
        <v>241</v>
      </c>
    </row>
    <row r="108" spans="1:72" x14ac:dyDescent="0.35">
      <c r="B108" s="1" t="s">
        <v>239</v>
      </c>
      <c r="C108" s="1" t="s">
        <v>93</v>
      </c>
      <c r="H108" s="4" t="s">
        <v>242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T108" s="1" t="s">
        <v>241</v>
      </c>
    </row>
    <row r="109" spans="1:72" ht="15" thickBot="1" x14ac:dyDescent="0.4">
      <c r="B109" s="1" t="s">
        <v>239</v>
      </c>
      <c r="C109" s="1" t="s">
        <v>95</v>
      </c>
      <c r="J109" s="1">
        <f>J108-J107</f>
        <v>0</v>
      </c>
      <c r="K109" s="1">
        <f t="shared" ref="K109:AP109" si="66">K108-K107+J109</f>
        <v>0</v>
      </c>
      <c r="L109" s="1">
        <f t="shared" si="66"/>
        <v>0</v>
      </c>
      <c r="M109" s="1">
        <f t="shared" si="66"/>
        <v>0</v>
      </c>
      <c r="N109" s="1">
        <f t="shared" si="66"/>
        <v>0</v>
      </c>
      <c r="O109" s="1">
        <f t="shared" si="66"/>
        <v>0</v>
      </c>
      <c r="P109" s="1">
        <f t="shared" si="66"/>
        <v>0</v>
      </c>
      <c r="Q109" s="1">
        <f t="shared" si="66"/>
        <v>0</v>
      </c>
      <c r="R109" s="1">
        <f t="shared" si="66"/>
        <v>0</v>
      </c>
      <c r="S109" s="1">
        <f t="shared" si="66"/>
        <v>0</v>
      </c>
      <c r="T109" s="1">
        <f t="shared" si="66"/>
        <v>0</v>
      </c>
      <c r="U109" s="1">
        <f t="shared" si="66"/>
        <v>0</v>
      </c>
      <c r="V109" s="1">
        <f t="shared" si="66"/>
        <v>0</v>
      </c>
      <c r="W109" s="1">
        <f t="shared" si="66"/>
        <v>0</v>
      </c>
      <c r="X109" s="1">
        <f t="shared" si="66"/>
        <v>0</v>
      </c>
      <c r="Y109" s="1">
        <f t="shared" si="66"/>
        <v>0</v>
      </c>
      <c r="Z109" s="1">
        <f t="shared" si="66"/>
        <v>0</v>
      </c>
      <c r="AA109" s="1">
        <f t="shared" si="66"/>
        <v>0</v>
      </c>
      <c r="AB109" s="1">
        <f t="shared" si="66"/>
        <v>0</v>
      </c>
      <c r="AC109" s="1">
        <f t="shared" si="66"/>
        <v>0</v>
      </c>
      <c r="AD109" s="1">
        <f t="shared" si="66"/>
        <v>0</v>
      </c>
      <c r="AE109" s="1">
        <f t="shared" si="66"/>
        <v>-2375</v>
      </c>
      <c r="AF109" s="1">
        <f t="shared" si="66"/>
        <v>-9870</v>
      </c>
      <c r="AG109" s="1">
        <f t="shared" si="66"/>
        <v>-9870</v>
      </c>
      <c r="AH109" s="1">
        <f t="shared" si="66"/>
        <v>-9870</v>
      </c>
      <c r="AI109" s="1">
        <f t="shared" si="66"/>
        <v>-9870</v>
      </c>
      <c r="AJ109" s="1">
        <f t="shared" si="66"/>
        <v>-17380</v>
      </c>
      <c r="AK109" s="1">
        <f t="shared" si="66"/>
        <v>-20380</v>
      </c>
      <c r="AL109" s="1">
        <f t="shared" si="66"/>
        <v>-20380</v>
      </c>
      <c r="AM109" s="1">
        <f t="shared" si="66"/>
        <v>-26875</v>
      </c>
      <c r="AN109" s="1">
        <f t="shared" si="66"/>
        <v>-30875</v>
      </c>
      <c r="AO109" s="1">
        <f t="shared" si="66"/>
        <v>-30875</v>
      </c>
      <c r="AP109" s="1">
        <f t="shared" si="66"/>
        <v>-30875</v>
      </c>
      <c r="AQ109" s="1">
        <f t="shared" ref="AQ109:BJ109" si="67">AQ108-AQ107+AP109</f>
        <v>-30875</v>
      </c>
      <c r="AR109" s="1">
        <f t="shared" si="67"/>
        <v>-34875</v>
      </c>
      <c r="AS109" s="1">
        <f t="shared" si="67"/>
        <v>-41370</v>
      </c>
      <c r="AT109" s="1">
        <f t="shared" si="67"/>
        <v>-41370</v>
      </c>
      <c r="AU109" s="1">
        <f t="shared" si="67"/>
        <v>-41370</v>
      </c>
      <c r="AV109" s="1">
        <f t="shared" si="67"/>
        <v>-45370</v>
      </c>
      <c r="AW109" s="1">
        <f t="shared" si="67"/>
        <v>-50280</v>
      </c>
      <c r="AX109" s="1">
        <f t="shared" si="67"/>
        <v>-50280</v>
      </c>
      <c r="AY109" s="1">
        <f t="shared" si="67"/>
        <v>-50280</v>
      </c>
      <c r="AZ109" s="1">
        <f t="shared" si="67"/>
        <v>-50280</v>
      </c>
      <c r="BA109" s="1">
        <f t="shared" si="67"/>
        <v>-50280</v>
      </c>
      <c r="BB109" s="1">
        <f t="shared" si="67"/>
        <v>-50280</v>
      </c>
      <c r="BC109" s="1">
        <f t="shared" si="67"/>
        <v>-50280</v>
      </c>
      <c r="BD109" s="1">
        <f t="shared" si="67"/>
        <v>-50280</v>
      </c>
      <c r="BE109" s="1">
        <f t="shared" si="67"/>
        <v>-50280</v>
      </c>
      <c r="BF109" s="1">
        <f t="shared" si="67"/>
        <v>-50280</v>
      </c>
      <c r="BG109" s="1">
        <f t="shared" si="67"/>
        <v>-50280</v>
      </c>
      <c r="BH109" s="1">
        <f t="shared" si="67"/>
        <v>-50280</v>
      </c>
      <c r="BI109" s="1">
        <f t="shared" si="67"/>
        <v>-50280</v>
      </c>
      <c r="BJ109" s="1">
        <f t="shared" si="67"/>
        <v>-50280</v>
      </c>
      <c r="BT109" s="1" t="s">
        <v>241</v>
      </c>
    </row>
    <row r="110" spans="1:72" ht="15" thickBot="1" x14ac:dyDescent="0.4">
      <c r="A110" s="1" t="s">
        <v>85</v>
      </c>
      <c r="B110" s="4" t="s">
        <v>243</v>
      </c>
      <c r="C110" s="4" t="s">
        <v>87</v>
      </c>
      <c r="D110" s="4" t="s">
        <v>88</v>
      </c>
      <c r="E110" s="4"/>
      <c r="F110" s="4"/>
      <c r="G110" s="4" t="s">
        <v>89</v>
      </c>
      <c r="H110" s="4" t="s">
        <v>244</v>
      </c>
      <c r="I110" s="4" t="s">
        <v>236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4078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f>SUM(J110:BK110)</f>
        <v>4078</v>
      </c>
      <c r="BM110" s="4">
        <v>3000</v>
      </c>
      <c r="BN110" s="4">
        <v>0</v>
      </c>
      <c r="BO110" s="4">
        <v>3000</v>
      </c>
      <c r="BP110" s="4">
        <v>0</v>
      </c>
      <c r="BQ110" s="4">
        <v>0</v>
      </c>
      <c r="BR110" s="4"/>
      <c r="BT110" s="1" t="s">
        <v>245</v>
      </c>
    </row>
    <row r="111" spans="1:72" x14ac:dyDescent="0.35">
      <c r="B111" s="1" t="s">
        <v>243</v>
      </c>
      <c r="C111" s="1" t="s">
        <v>93</v>
      </c>
      <c r="H111" s="4" t="s">
        <v>246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T111" s="1" t="s">
        <v>245</v>
      </c>
    </row>
    <row r="112" spans="1:72" ht="15" thickBot="1" x14ac:dyDescent="0.4">
      <c r="B112" s="1" t="s">
        <v>243</v>
      </c>
      <c r="C112" s="1" t="s">
        <v>95</v>
      </c>
      <c r="J112" s="1">
        <f>J111-J110</f>
        <v>0</v>
      </c>
      <c r="K112" s="1">
        <f t="shared" ref="K112:AP112" si="68">K111-K110+J112</f>
        <v>0</v>
      </c>
      <c r="L112" s="1">
        <f t="shared" si="68"/>
        <v>0</v>
      </c>
      <c r="M112" s="1">
        <f t="shared" si="68"/>
        <v>0</v>
      </c>
      <c r="N112" s="1">
        <f t="shared" si="68"/>
        <v>0</v>
      </c>
      <c r="O112" s="1">
        <f t="shared" si="68"/>
        <v>0</v>
      </c>
      <c r="P112" s="1">
        <f t="shared" si="68"/>
        <v>0</v>
      </c>
      <c r="Q112" s="1">
        <f t="shared" si="68"/>
        <v>0</v>
      </c>
      <c r="R112" s="1">
        <f t="shared" si="68"/>
        <v>0</v>
      </c>
      <c r="S112" s="1">
        <f t="shared" si="68"/>
        <v>0</v>
      </c>
      <c r="T112" s="1">
        <f t="shared" si="68"/>
        <v>0</v>
      </c>
      <c r="U112" s="1">
        <f t="shared" si="68"/>
        <v>0</v>
      </c>
      <c r="V112" s="1">
        <f t="shared" si="68"/>
        <v>0</v>
      </c>
      <c r="W112" s="1">
        <f t="shared" si="68"/>
        <v>0</v>
      </c>
      <c r="X112" s="1">
        <f t="shared" si="68"/>
        <v>0</v>
      </c>
      <c r="Y112" s="1">
        <f t="shared" si="68"/>
        <v>0</v>
      </c>
      <c r="Z112" s="1">
        <f t="shared" si="68"/>
        <v>0</v>
      </c>
      <c r="AA112" s="1">
        <f t="shared" si="68"/>
        <v>0</v>
      </c>
      <c r="AB112" s="1">
        <f t="shared" si="68"/>
        <v>0</v>
      </c>
      <c r="AC112" s="1">
        <f t="shared" si="68"/>
        <v>0</v>
      </c>
      <c r="AD112" s="1">
        <f t="shared" si="68"/>
        <v>0</v>
      </c>
      <c r="AE112" s="1">
        <f t="shared" si="68"/>
        <v>0</v>
      </c>
      <c r="AF112" s="1">
        <f t="shared" si="68"/>
        <v>0</v>
      </c>
      <c r="AG112" s="1">
        <f t="shared" si="68"/>
        <v>0</v>
      </c>
      <c r="AH112" s="1">
        <f t="shared" si="68"/>
        <v>0</v>
      </c>
      <c r="AI112" s="1">
        <f t="shared" si="68"/>
        <v>0</v>
      </c>
      <c r="AJ112" s="1">
        <f t="shared" si="68"/>
        <v>0</v>
      </c>
      <c r="AK112" s="1">
        <f t="shared" si="68"/>
        <v>0</v>
      </c>
      <c r="AL112" s="1">
        <f t="shared" si="68"/>
        <v>-4078</v>
      </c>
      <c r="AM112" s="1">
        <f t="shared" si="68"/>
        <v>-4078</v>
      </c>
      <c r="AN112" s="1">
        <f t="shared" si="68"/>
        <v>-4078</v>
      </c>
      <c r="AO112" s="1">
        <f t="shared" si="68"/>
        <v>-4078</v>
      </c>
      <c r="AP112" s="1">
        <f t="shared" si="68"/>
        <v>-4078</v>
      </c>
      <c r="AQ112" s="1">
        <f t="shared" ref="AQ112:BJ112" si="69">AQ111-AQ110+AP112</f>
        <v>-4078</v>
      </c>
      <c r="AR112" s="1">
        <f t="shared" si="69"/>
        <v>-4078</v>
      </c>
      <c r="AS112" s="1">
        <f t="shared" si="69"/>
        <v>-4078</v>
      </c>
      <c r="AT112" s="1">
        <f t="shared" si="69"/>
        <v>-4078</v>
      </c>
      <c r="AU112" s="1">
        <f t="shared" si="69"/>
        <v>-4078</v>
      </c>
      <c r="AV112" s="1">
        <f t="shared" si="69"/>
        <v>-4078</v>
      </c>
      <c r="AW112" s="1">
        <f t="shared" si="69"/>
        <v>-4078</v>
      </c>
      <c r="AX112" s="1">
        <f t="shared" si="69"/>
        <v>-4078</v>
      </c>
      <c r="AY112" s="1">
        <f t="shared" si="69"/>
        <v>-4078</v>
      </c>
      <c r="AZ112" s="1">
        <f t="shared" si="69"/>
        <v>-4078</v>
      </c>
      <c r="BA112" s="1">
        <f t="shared" si="69"/>
        <v>-4078</v>
      </c>
      <c r="BB112" s="1">
        <f t="shared" si="69"/>
        <v>-4078</v>
      </c>
      <c r="BC112" s="1">
        <f t="shared" si="69"/>
        <v>-4078</v>
      </c>
      <c r="BD112" s="1">
        <f t="shared" si="69"/>
        <v>-4078</v>
      </c>
      <c r="BE112" s="1">
        <f t="shared" si="69"/>
        <v>-4078</v>
      </c>
      <c r="BF112" s="1">
        <f t="shared" si="69"/>
        <v>-4078</v>
      </c>
      <c r="BG112" s="1">
        <f t="shared" si="69"/>
        <v>-4078</v>
      </c>
      <c r="BH112" s="1">
        <f t="shared" si="69"/>
        <v>-4078</v>
      </c>
      <c r="BI112" s="1">
        <f t="shared" si="69"/>
        <v>-4078</v>
      </c>
      <c r="BJ112" s="1">
        <f t="shared" si="69"/>
        <v>-4078</v>
      </c>
      <c r="BT112" s="1" t="s">
        <v>245</v>
      </c>
    </row>
    <row r="113" spans="1:72" ht="15" thickBot="1" x14ac:dyDescent="0.4">
      <c r="A113" s="1" t="s">
        <v>85</v>
      </c>
      <c r="B113" s="4" t="s">
        <v>247</v>
      </c>
      <c r="C113" s="4" t="s">
        <v>87</v>
      </c>
      <c r="D113" s="4" t="s">
        <v>88</v>
      </c>
      <c r="E113" s="4"/>
      <c r="F113" s="4"/>
      <c r="G113" s="4" t="s">
        <v>89</v>
      </c>
      <c r="H113" s="4" t="s">
        <v>248</v>
      </c>
      <c r="I113" s="4" t="s">
        <v>214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1803</v>
      </c>
      <c r="S113" s="4">
        <v>0</v>
      </c>
      <c r="T113" s="4">
        <v>0</v>
      </c>
      <c r="U113" s="4">
        <v>0</v>
      </c>
      <c r="V113" s="4">
        <v>20412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276</v>
      </c>
      <c r="AC113" s="4">
        <v>276</v>
      </c>
      <c r="AD113" s="4">
        <v>276</v>
      </c>
      <c r="AE113" s="4">
        <v>276</v>
      </c>
      <c r="AF113" s="4">
        <v>1202</v>
      </c>
      <c r="AG113" s="4">
        <v>1202</v>
      </c>
      <c r="AH113" s="4">
        <v>1202</v>
      </c>
      <c r="AI113" s="4">
        <v>1202</v>
      </c>
      <c r="AJ113" s="4">
        <v>1754</v>
      </c>
      <c r="AK113" s="4">
        <v>1890</v>
      </c>
      <c r="AL113" s="4">
        <v>1890</v>
      </c>
      <c r="AM113" s="4">
        <v>1512</v>
      </c>
      <c r="AN113" s="4">
        <v>1512</v>
      </c>
      <c r="AO113" s="4">
        <v>1512</v>
      </c>
      <c r="AP113" s="4">
        <v>1890</v>
      </c>
      <c r="AQ113" s="4">
        <v>1890</v>
      </c>
      <c r="AR113" s="4">
        <v>1512</v>
      </c>
      <c r="AS113" s="4">
        <v>1802</v>
      </c>
      <c r="AT113" s="4">
        <v>1802</v>
      </c>
      <c r="AU113" s="4">
        <v>1802</v>
      </c>
      <c r="AV113" s="4">
        <v>1802</v>
      </c>
      <c r="AW113" s="4">
        <v>1737</v>
      </c>
      <c r="AX113" s="4">
        <v>1720</v>
      </c>
      <c r="AY113" s="4">
        <v>1720</v>
      </c>
      <c r="AZ113" s="4">
        <v>1376</v>
      </c>
      <c r="BA113" s="4">
        <v>1376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f>SUM(J113:BK113)</f>
        <v>58626</v>
      </c>
      <c r="BM113" s="4">
        <v>24000</v>
      </c>
      <c r="BN113" s="4">
        <v>0</v>
      </c>
      <c r="BO113" s="4">
        <v>3000</v>
      </c>
      <c r="BP113" s="4">
        <v>0</v>
      </c>
      <c r="BQ113" s="4">
        <v>0</v>
      </c>
      <c r="BR113" s="4"/>
      <c r="BT113" s="1" t="s">
        <v>249</v>
      </c>
    </row>
    <row r="114" spans="1:72" x14ac:dyDescent="0.35">
      <c r="B114" s="1" t="s">
        <v>247</v>
      </c>
      <c r="C114" s="1" t="s">
        <v>93</v>
      </c>
      <c r="H114" s="4" t="s">
        <v>250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T114" s="1" t="s">
        <v>249</v>
      </c>
    </row>
    <row r="115" spans="1:72" ht="15" thickBot="1" x14ac:dyDescent="0.4">
      <c r="B115" s="1" t="s">
        <v>247</v>
      </c>
      <c r="C115" s="1" t="s">
        <v>95</v>
      </c>
      <c r="J115" s="1">
        <f>J114-J113</f>
        <v>0</v>
      </c>
      <c r="K115" s="1">
        <f t="shared" ref="K115:AP115" si="70">K114-K113+J115</f>
        <v>0</v>
      </c>
      <c r="L115" s="1">
        <f t="shared" si="70"/>
        <v>0</v>
      </c>
      <c r="M115" s="1">
        <f t="shared" si="70"/>
        <v>0</v>
      </c>
      <c r="N115" s="1">
        <f t="shared" si="70"/>
        <v>0</v>
      </c>
      <c r="O115" s="1">
        <f t="shared" si="70"/>
        <v>0</v>
      </c>
      <c r="P115" s="1">
        <f t="shared" si="70"/>
        <v>0</v>
      </c>
      <c r="Q115" s="1">
        <f t="shared" si="70"/>
        <v>0</v>
      </c>
      <c r="R115" s="1">
        <f t="shared" si="70"/>
        <v>-1803</v>
      </c>
      <c r="S115" s="1">
        <f t="shared" si="70"/>
        <v>-1803</v>
      </c>
      <c r="T115" s="1">
        <f t="shared" si="70"/>
        <v>-1803</v>
      </c>
      <c r="U115" s="1">
        <f t="shared" si="70"/>
        <v>-1803</v>
      </c>
      <c r="V115" s="1">
        <f t="shared" si="70"/>
        <v>-22215</v>
      </c>
      <c r="W115" s="1">
        <f t="shared" si="70"/>
        <v>-22215</v>
      </c>
      <c r="X115" s="1">
        <f t="shared" si="70"/>
        <v>-22215</v>
      </c>
      <c r="Y115" s="1">
        <f t="shared" si="70"/>
        <v>-22215</v>
      </c>
      <c r="Z115" s="1">
        <f t="shared" si="70"/>
        <v>-22215</v>
      </c>
      <c r="AA115" s="1">
        <f t="shared" si="70"/>
        <v>-22215</v>
      </c>
      <c r="AB115" s="1">
        <f t="shared" si="70"/>
        <v>-22491</v>
      </c>
      <c r="AC115" s="1">
        <f t="shared" si="70"/>
        <v>-22767</v>
      </c>
      <c r="AD115" s="1">
        <f t="shared" si="70"/>
        <v>-23043</v>
      </c>
      <c r="AE115" s="1">
        <f t="shared" si="70"/>
        <v>-23319</v>
      </c>
      <c r="AF115" s="1">
        <f t="shared" si="70"/>
        <v>-24521</v>
      </c>
      <c r="AG115" s="1">
        <f t="shared" si="70"/>
        <v>-25723</v>
      </c>
      <c r="AH115" s="1">
        <f t="shared" si="70"/>
        <v>-26925</v>
      </c>
      <c r="AI115" s="1">
        <f t="shared" si="70"/>
        <v>-28127</v>
      </c>
      <c r="AJ115" s="1">
        <f t="shared" si="70"/>
        <v>-29881</v>
      </c>
      <c r="AK115" s="1">
        <f t="shared" si="70"/>
        <v>-31771</v>
      </c>
      <c r="AL115" s="1">
        <f t="shared" si="70"/>
        <v>-33661</v>
      </c>
      <c r="AM115" s="1">
        <f t="shared" si="70"/>
        <v>-35173</v>
      </c>
      <c r="AN115" s="1">
        <f t="shared" si="70"/>
        <v>-36685</v>
      </c>
      <c r="AO115" s="1">
        <f t="shared" si="70"/>
        <v>-38197</v>
      </c>
      <c r="AP115" s="1">
        <f t="shared" si="70"/>
        <v>-40087</v>
      </c>
      <c r="AQ115" s="1">
        <f t="shared" ref="AQ115:BJ115" si="71">AQ114-AQ113+AP115</f>
        <v>-41977</v>
      </c>
      <c r="AR115" s="1">
        <f t="shared" si="71"/>
        <v>-43489</v>
      </c>
      <c r="AS115" s="1">
        <f t="shared" si="71"/>
        <v>-45291</v>
      </c>
      <c r="AT115" s="1">
        <f t="shared" si="71"/>
        <v>-47093</v>
      </c>
      <c r="AU115" s="1">
        <f t="shared" si="71"/>
        <v>-48895</v>
      </c>
      <c r="AV115" s="1">
        <f t="shared" si="71"/>
        <v>-50697</v>
      </c>
      <c r="AW115" s="1">
        <f t="shared" si="71"/>
        <v>-52434</v>
      </c>
      <c r="AX115" s="1">
        <f t="shared" si="71"/>
        <v>-54154</v>
      </c>
      <c r="AY115" s="1">
        <f t="shared" si="71"/>
        <v>-55874</v>
      </c>
      <c r="AZ115" s="1">
        <f t="shared" si="71"/>
        <v>-57250</v>
      </c>
      <c r="BA115" s="1">
        <f t="shared" si="71"/>
        <v>-58626</v>
      </c>
      <c r="BB115" s="1">
        <f t="shared" si="71"/>
        <v>-58626</v>
      </c>
      <c r="BC115" s="1">
        <f t="shared" si="71"/>
        <v>-58626</v>
      </c>
      <c r="BD115" s="1">
        <f t="shared" si="71"/>
        <v>-58626</v>
      </c>
      <c r="BE115" s="1">
        <f t="shared" si="71"/>
        <v>-58626</v>
      </c>
      <c r="BF115" s="1">
        <f t="shared" si="71"/>
        <v>-58626</v>
      </c>
      <c r="BG115" s="1">
        <f t="shared" si="71"/>
        <v>-58626</v>
      </c>
      <c r="BH115" s="1">
        <f t="shared" si="71"/>
        <v>-58626</v>
      </c>
      <c r="BI115" s="1">
        <f t="shared" si="71"/>
        <v>-58626</v>
      </c>
      <c r="BJ115" s="1">
        <f t="shared" si="71"/>
        <v>-58626</v>
      </c>
      <c r="BT115" s="1" t="s">
        <v>249</v>
      </c>
    </row>
    <row r="116" spans="1:72" ht="15" thickBot="1" x14ac:dyDescent="0.4">
      <c r="A116" s="1" t="s">
        <v>85</v>
      </c>
      <c r="B116" s="4" t="s">
        <v>251</v>
      </c>
      <c r="C116" s="4" t="s">
        <v>87</v>
      </c>
      <c r="D116" s="4" t="s">
        <v>88</v>
      </c>
      <c r="E116" s="4"/>
      <c r="F116" s="4"/>
      <c r="G116" s="4" t="s">
        <v>89</v>
      </c>
      <c r="H116" s="4" t="s">
        <v>252</v>
      </c>
      <c r="I116" s="4" t="s">
        <v>98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159029</v>
      </c>
      <c r="AA116" s="4">
        <v>0</v>
      </c>
      <c r="AB116" s="4">
        <v>0</v>
      </c>
      <c r="AC116" s="4">
        <v>0</v>
      </c>
      <c r="AD116" s="4">
        <v>196500</v>
      </c>
      <c r="AE116" s="4">
        <v>6000</v>
      </c>
      <c r="AF116" s="4">
        <v>0</v>
      </c>
      <c r="AG116" s="4">
        <v>0</v>
      </c>
      <c r="AH116" s="4">
        <v>92000</v>
      </c>
      <c r="AI116" s="4">
        <v>161000</v>
      </c>
      <c r="AJ116" s="4">
        <v>0</v>
      </c>
      <c r="AK116" s="4">
        <v>0</v>
      </c>
      <c r="AL116" s="4">
        <v>36000</v>
      </c>
      <c r="AM116" s="4">
        <v>147000</v>
      </c>
      <c r="AN116" s="4">
        <v>0</v>
      </c>
      <c r="AO116" s="4">
        <v>0</v>
      </c>
      <c r="AP116" s="4">
        <v>0</v>
      </c>
      <c r="AQ116" s="4">
        <v>183000</v>
      </c>
      <c r="AR116" s="4">
        <v>0</v>
      </c>
      <c r="AS116" s="4">
        <v>0</v>
      </c>
      <c r="AT116" s="4">
        <v>0</v>
      </c>
      <c r="AU116" s="4">
        <v>0</v>
      </c>
      <c r="AV116" s="4">
        <v>135000</v>
      </c>
      <c r="AW116" s="4">
        <v>0</v>
      </c>
      <c r="AX116" s="4">
        <v>0</v>
      </c>
      <c r="AY116" s="4">
        <v>90000</v>
      </c>
      <c r="AZ116" s="4">
        <v>63000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f>SUM(J116:BK116)</f>
        <v>1268529</v>
      </c>
      <c r="BM116" s="4">
        <v>435000</v>
      </c>
      <c r="BN116" s="4">
        <v>0</v>
      </c>
      <c r="BO116" s="4">
        <v>3000</v>
      </c>
      <c r="BP116" s="4">
        <v>0</v>
      </c>
      <c r="BQ116" s="4">
        <v>0</v>
      </c>
      <c r="BR116" s="4"/>
      <c r="BT116" s="1" t="s">
        <v>253</v>
      </c>
    </row>
    <row r="117" spans="1:72" x14ac:dyDescent="0.35">
      <c r="B117" s="1" t="s">
        <v>251</v>
      </c>
      <c r="C117" s="1" t="s">
        <v>93</v>
      </c>
      <c r="H117" s="4" t="s">
        <v>254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T117" s="1" t="s">
        <v>253</v>
      </c>
    </row>
    <row r="118" spans="1:72" ht="15" thickBot="1" x14ac:dyDescent="0.4">
      <c r="B118" s="1" t="s">
        <v>251</v>
      </c>
      <c r="C118" s="1" t="s">
        <v>95</v>
      </c>
      <c r="J118" s="1">
        <f>J117-J116</f>
        <v>0</v>
      </c>
      <c r="K118" s="1">
        <f t="shared" ref="K118:AP118" si="72">K117-K116+J118</f>
        <v>0</v>
      </c>
      <c r="L118" s="1">
        <f t="shared" si="72"/>
        <v>0</v>
      </c>
      <c r="M118" s="1">
        <f t="shared" si="72"/>
        <v>0</v>
      </c>
      <c r="N118" s="1">
        <f t="shared" si="72"/>
        <v>0</v>
      </c>
      <c r="O118" s="1">
        <f t="shared" si="72"/>
        <v>0</v>
      </c>
      <c r="P118" s="1">
        <f t="shared" si="72"/>
        <v>0</v>
      </c>
      <c r="Q118" s="1">
        <f t="shared" si="72"/>
        <v>0</v>
      </c>
      <c r="R118" s="1">
        <f t="shared" si="72"/>
        <v>0</v>
      </c>
      <c r="S118" s="1">
        <f t="shared" si="72"/>
        <v>0</v>
      </c>
      <c r="T118" s="1">
        <f t="shared" si="72"/>
        <v>0</v>
      </c>
      <c r="U118" s="1">
        <f t="shared" si="72"/>
        <v>0</v>
      </c>
      <c r="V118" s="1">
        <f t="shared" si="72"/>
        <v>0</v>
      </c>
      <c r="W118" s="1">
        <f t="shared" si="72"/>
        <v>0</v>
      </c>
      <c r="X118" s="1">
        <f t="shared" si="72"/>
        <v>0</v>
      </c>
      <c r="Y118" s="1">
        <f t="shared" si="72"/>
        <v>0</v>
      </c>
      <c r="Z118" s="1">
        <f t="shared" si="72"/>
        <v>-159029</v>
      </c>
      <c r="AA118" s="1">
        <f t="shared" si="72"/>
        <v>-159029</v>
      </c>
      <c r="AB118" s="1">
        <f t="shared" si="72"/>
        <v>-159029</v>
      </c>
      <c r="AC118" s="1">
        <f t="shared" si="72"/>
        <v>-159029</v>
      </c>
      <c r="AD118" s="1">
        <f t="shared" si="72"/>
        <v>-355529</v>
      </c>
      <c r="AE118" s="1">
        <f t="shared" si="72"/>
        <v>-361529</v>
      </c>
      <c r="AF118" s="1">
        <f t="shared" si="72"/>
        <v>-361529</v>
      </c>
      <c r="AG118" s="1">
        <f t="shared" si="72"/>
        <v>-361529</v>
      </c>
      <c r="AH118" s="1">
        <f t="shared" si="72"/>
        <v>-453529</v>
      </c>
      <c r="AI118" s="1">
        <f t="shared" si="72"/>
        <v>-614529</v>
      </c>
      <c r="AJ118" s="1">
        <f t="shared" si="72"/>
        <v>-614529</v>
      </c>
      <c r="AK118" s="1">
        <f t="shared" si="72"/>
        <v>-614529</v>
      </c>
      <c r="AL118" s="1">
        <f t="shared" si="72"/>
        <v>-650529</v>
      </c>
      <c r="AM118" s="1">
        <f t="shared" si="72"/>
        <v>-797529</v>
      </c>
      <c r="AN118" s="1">
        <f t="shared" si="72"/>
        <v>-797529</v>
      </c>
      <c r="AO118" s="1">
        <f t="shared" si="72"/>
        <v>-797529</v>
      </c>
      <c r="AP118" s="1">
        <f t="shared" si="72"/>
        <v>-797529</v>
      </c>
      <c r="AQ118" s="1">
        <f t="shared" ref="AQ118:BJ118" si="73">AQ117-AQ116+AP118</f>
        <v>-980529</v>
      </c>
      <c r="AR118" s="1">
        <f t="shared" si="73"/>
        <v>-980529</v>
      </c>
      <c r="AS118" s="1">
        <f t="shared" si="73"/>
        <v>-980529</v>
      </c>
      <c r="AT118" s="1">
        <f t="shared" si="73"/>
        <v>-980529</v>
      </c>
      <c r="AU118" s="1">
        <f t="shared" si="73"/>
        <v>-980529</v>
      </c>
      <c r="AV118" s="1">
        <f t="shared" si="73"/>
        <v>-1115529</v>
      </c>
      <c r="AW118" s="1">
        <f t="shared" si="73"/>
        <v>-1115529</v>
      </c>
      <c r="AX118" s="1">
        <f t="shared" si="73"/>
        <v>-1115529</v>
      </c>
      <c r="AY118" s="1">
        <f t="shared" si="73"/>
        <v>-1205529</v>
      </c>
      <c r="AZ118" s="1">
        <f t="shared" si="73"/>
        <v>-1268529</v>
      </c>
      <c r="BA118" s="1">
        <f t="shared" si="73"/>
        <v>-1268529</v>
      </c>
      <c r="BB118" s="1">
        <f t="shared" si="73"/>
        <v>-1268529</v>
      </c>
      <c r="BC118" s="1">
        <f t="shared" si="73"/>
        <v>-1268529</v>
      </c>
      <c r="BD118" s="1">
        <f t="shared" si="73"/>
        <v>-1268529</v>
      </c>
      <c r="BE118" s="1">
        <f t="shared" si="73"/>
        <v>-1268529</v>
      </c>
      <c r="BF118" s="1">
        <f t="shared" si="73"/>
        <v>-1268529</v>
      </c>
      <c r="BG118" s="1">
        <f t="shared" si="73"/>
        <v>-1268529</v>
      </c>
      <c r="BH118" s="1">
        <f t="shared" si="73"/>
        <v>-1268529</v>
      </c>
      <c r="BI118" s="1">
        <f t="shared" si="73"/>
        <v>-1268529</v>
      </c>
      <c r="BJ118" s="1">
        <f t="shared" si="73"/>
        <v>-1268529</v>
      </c>
      <c r="BT118" s="1" t="s">
        <v>253</v>
      </c>
    </row>
    <row r="119" spans="1:72" ht="15" thickBot="1" x14ac:dyDescent="0.4">
      <c r="A119" s="1" t="s">
        <v>85</v>
      </c>
      <c r="B119" s="4" t="s">
        <v>255</v>
      </c>
      <c r="C119" s="4" t="s">
        <v>87</v>
      </c>
      <c r="D119" s="4" t="s">
        <v>88</v>
      </c>
      <c r="E119" s="4"/>
      <c r="F119" s="4"/>
      <c r="G119" s="4" t="s">
        <v>89</v>
      </c>
      <c r="H119" s="4" t="s">
        <v>256</v>
      </c>
      <c r="I119" s="4" t="s">
        <v>98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166</v>
      </c>
      <c r="AB119" s="4">
        <v>0</v>
      </c>
      <c r="AC119" s="4">
        <v>0</v>
      </c>
      <c r="AD119" s="4">
        <v>5600</v>
      </c>
      <c r="AE119" s="4">
        <v>5600</v>
      </c>
      <c r="AF119" s="4">
        <v>0</v>
      </c>
      <c r="AG119" s="4">
        <v>0</v>
      </c>
      <c r="AH119" s="4">
        <v>0</v>
      </c>
      <c r="AI119" s="4">
        <v>5600</v>
      </c>
      <c r="AJ119" s="4">
        <v>4200</v>
      </c>
      <c r="AK119" s="4">
        <v>0</v>
      </c>
      <c r="AL119" s="4">
        <v>5600</v>
      </c>
      <c r="AM119" s="4">
        <v>4200</v>
      </c>
      <c r="AN119" s="4">
        <v>0</v>
      </c>
      <c r="AO119" s="4">
        <v>0</v>
      </c>
      <c r="AP119" s="4">
        <v>0</v>
      </c>
      <c r="AQ119" s="4">
        <v>5600</v>
      </c>
      <c r="AR119" s="4">
        <v>4200</v>
      </c>
      <c r="AS119" s="4">
        <v>0</v>
      </c>
      <c r="AT119" s="4">
        <v>0</v>
      </c>
      <c r="AU119" s="4">
        <v>5600</v>
      </c>
      <c r="AV119" s="4">
        <v>1960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f>SUM(J119:BK119)</f>
        <v>48326</v>
      </c>
      <c r="BM119" s="4">
        <v>42000</v>
      </c>
      <c r="BN119" s="4">
        <v>0</v>
      </c>
      <c r="BO119" s="4">
        <v>3000</v>
      </c>
      <c r="BP119" s="4">
        <v>0</v>
      </c>
      <c r="BQ119" s="4">
        <v>0</v>
      </c>
      <c r="BR119" s="4"/>
      <c r="BT119" s="1" t="s">
        <v>257</v>
      </c>
    </row>
    <row r="120" spans="1:72" x14ac:dyDescent="0.35">
      <c r="B120" s="1" t="s">
        <v>255</v>
      </c>
      <c r="C120" s="1" t="s">
        <v>93</v>
      </c>
      <c r="H120" s="4" t="s">
        <v>258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T120" s="1" t="s">
        <v>257</v>
      </c>
    </row>
    <row r="121" spans="1:72" ht="15" thickBot="1" x14ac:dyDescent="0.4">
      <c r="B121" s="1" t="s">
        <v>255</v>
      </c>
      <c r="C121" s="1" t="s">
        <v>95</v>
      </c>
      <c r="J121" s="1">
        <f>J120-J119</f>
        <v>0</v>
      </c>
      <c r="K121" s="1">
        <f t="shared" ref="K121:AP121" si="74">K120-K119+J121</f>
        <v>0</v>
      </c>
      <c r="L121" s="1">
        <f t="shared" si="74"/>
        <v>0</v>
      </c>
      <c r="M121" s="1">
        <f t="shared" si="74"/>
        <v>0</v>
      </c>
      <c r="N121" s="1">
        <f t="shared" si="74"/>
        <v>0</v>
      </c>
      <c r="O121" s="1">
        <f t="shared" si="74"/>
        <v>0</v>
      </c>
      <c r="P121" s="1">
        <f t="shared" si="74"/>
        <v>0</v>
      </c>
      <c r="Q121" s="1">
        <f t="shared" si="74"/>
        <v>0</v>
      </c>
      <c r="R121" s="1">
        <f t="shared" si="74"/>
        <v>0</v>
      </c>
      <c r="S121" s="1">
        <f t="shared" si="74"/>
        <v>0</v>
      </c>
      <c r="T121" s="1">
        <f t="shared" si="74"/>
        <v>0</v>
      </c>
      <c r="U121" s="1">
        <f t="shared" si="74"/>
        <v>0</v>
      </c>
      <c r="V121" s="1">
        <f t="shared" si="74"/>
        <v>0</v>
      </c>
      <c r="W121" s="1">
        <f t="shared" si="74"/>
        <v>0</v>
      </c>
      <c r="X121" s="1">
        <f t="shared" si="74"/>
        <v>0</v>
      </c>
      <c r="Y121" s="1">
        <f t="shared" si="74"/>
        <v>0</v>
      </c>
      <c r="Z121" s="1">
        <f t="shared" si="74"/>
        <v>0</v>
      </c>
      <c r="AA121" s="1">
        <f t="shared" si="74"/>
        <v>-166</v>
      </c>
      <c r="AB121" s="1">
        <f t="shared" si="74"/>
        <v>-166</v>
      </c>
      <c r="AC121" s="1">
        <f t="shared" si="74"/>
        <v>-166</v>
      </c>
      <c r="AD121" s="1">
        <f t="shared" si="74"/>
        <v>-5766</v>
      </c>
      <c r="AE121" s="1">
        <f t="shared" si="74"/>
        <v>-11366</v>
      </c>
      <c r="AF121" s="1">
        <f t="shared" si="74"/>
        <v>-11366</v>
      </c>
      <c r="AG121" s="1">
        <f t="shared" si="74"/>
        <v>-11366</v>
      </c>
      <c r="AH121" s="1">
        <f t="shared" si="74"/>
        <v>-11366</v>
      </c>
      <c r="AI121" s="1">
        <f t="shared" si="74"/>
        <v>-16966</v>
      </c>
      <c r="AJ121" s="1">
        <f t="shared" si="74"/>
        <v>-21166</v>
      </c>
      <c r="AK121" s="1">
        <f t="shared" si="74"/>
        <v>-21166</v>
      </c>
      <c r="AL121" s="1">
        <f t="shared" si="74"/>
        <v>-26766</v>
      </c>
      <c r="AM121" s="1">
        <f t="shared" si="74"/>
        <v>-30966</v>
      </c>
      <c r="AN121" s="1">
        <f t="shared" si="74"/>
        <v>-30966</v>
      </c>
      <c r="AO121" s="1">
        <f t="shared" si="74"/>
        <v>-30966</v>
      </c>
      <c r="AP121" s="1">
        <f t="shared" si="74"/>
        <v>-30966</v>
      </c>
      <c r="AQ121" s="1">
        <f t="shared" ref="AQ121:BJ121" si="75">AQ120-AQ119+AP121</f>
        <v>-36566</v>
      </c>
      <c r="AR121" s="1">
        <f t="shared" si="75"/>
        <v>-40766</v>
      </c>
      <c r="AS121" s="1">
        <f t="shared" si="75"/>
        <v>-40766</v>
      </c>
      <c r="AT121" s="1">
        <f t="shared" si="75"/>
        <v>-40766</v>
      </c>
      <c r="AU121" s="1">
        <f t="shared" si="75"/>
        <v>-46366</v>
      </c>
      <c r="AV121" s="1">
        <f t="shared" si="75"/>
        <v>-48326</v>
      </c>
      <c r="AW121" s="1">
        <f t="shared" si="75"/>
        <v>-48326</v>
      </c>
      <c r="AX121" s="1">
        <f t="shared" si="75"/>
        <v>-48326</v>
      </c>
      <c r="AY121" s="1">
        <f t="shared" si="75"/>
        <v>-48326</v>
      </c>
      <c r="AZ121" s="1">
        <f t="shared" si="75"/>
        <v>-48326</v>
      </c>
      <c r="BA121" s="1">
        <f t="shared" si="75"/>
        <v>-48326</v>
      </c>
      <c r="BB121" s="1">
        <f t="shared" si="75"/>
        <v>-48326</v>
      </c>
      <c r="BC121" s="1">
        <f t="shared" si="75"/>
        <v>-48326</v>
      </c>
      <c r="BD121" s="1">
        <f t="shared" si="75"/>
        <v>-48326</v>
      </c>
      <c r="BE121" s="1">
        <f t="shared" si="75"/>
        <v>-48326</v>
      </c>
      <c r="BF121" s="1">
        <f t="shared" si="75"/>
        <v>-48326</v>
      </c>
      <c r="BG121" s="1">
        <f t="shared" si="75"/>
        <v>-48326</v>
      </c>
      <c r="BH121" s="1">
        <f t="shared" si="75"/>
        <v>-48326</v>
      </c>
      <c r="BI121" s="1">
        <f t="shared" si="75"/>
        <v>-48326</v>
      </c>
      <c r="BJ121" s="1">
        <f t="shared" si="75"/>
        <v>-48326</v>
      </c>
      <c r="BT121" s="1" t="s">
        <v>257</v>
      </c>
    </row>
    <row r="122" spans="1:72" ht="15" thickBot="1" x14ac:dyDescent="0.4">
      <c r="A122" s="1" t="s">
        <v>85</v>
      </c>
      <c r="B122" s="4" t="s">
        <v>259</v>
      </c>
      <c r="C122" s="4" t="s">
        <v>87</v>
      </c>
      <c r="D122" s="4" t="s">
        <v>88</v>
      </c>
      <c r="E122" s="4"/>
      <c r="F122" s="4"/>
      <c r="G122" s="4" t="s">
        <v>89</v>
      </c>
      <c r="H122" s="4" t="s">
        <v>260</v>
      </c>
      <c r="I122" s="4" t="s">
        <v>111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438</v>
      </c>
      <c r="AB122" s="4">
        <v>4000</v>
      </c>
      <c r="AC122" s="4">
        <v>0</v>
      </c>
      <c r="AD122" s="4">
        <v>0</v>
      </c>
      <c r="AE122" s="4">
        <v>4000</v>
      </c>
      <c r="AF122" s="4">
        <v>4000</v>
      </c>
      <c r="AG122" s="4">
        <v>0</v>
      </c>
      <c r="AH122" s="4">
        <v>0</v>
      </c>
      <c r="AI122" s="4">
        <v>0</v>
      </c>
      <c r="AJ122" s="4">
        <v>4000</v>
      </c>
      <c r="AK122" s="4">
        <v>3000</v>
      </c>
      <c r="AL122" s="4">
        <v>0</v>
      </c>
      <c r="AM122" s="4">
        <v>3000</v>
      </c>
      <c r="AN122" s="4">
        <v>4000</v>
      </c>
      <c r="AO122" s="4">
        <v>0</v>
      </c>
      <c r="AP122" s="4">
        <v>0</v>
      </c>
      <c r="AQ122" s="4">
        <v>0</v>
      </c>
      <c r="AR122" s="4">
        <v>4000</v>
      </c>
      <c r="AS122" s="4">
        <v>3000</v>
      </c>
      <c r="AT122" s="4">
        <v>0</v>
      </c>
      <c r="AU122" s="4">
        <v>0</v>
      </c>
      <c r="AV122" s="4">
        <v>4000</v>
      </c>
      <c r="AW122" s="4">
        <v>1400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f>SUM(J122:BK122)</f>
        <v>38838</v>
      </c>
      <c r="BM122" s="4">
        <v>30000</v>
      </c>
      <c r="BN122" s="4">
        <v>0</v>
      </c>
      <c r="BO122" s="4">
        <v>3000</v>
      </c>
      <c r="BP122" s="4">
        <v>0</v>
      </c>
      <c r="BQ122" s="4">
        <v>0</v>
      </c>
      <c r="BR122" s="4"/>
      <c r="BT122" s="1" t="s">
        <v>261</v>
      </c>
    </row>
    <row r="123" spans="1:72" x14ac:dyDescent="0.35">
      <c r="B123" s="1" t="s">
        <v>259</v>
      </c>
      <c r="C123" s="1" t="s">
        <v>93</v>
      </c>
      <c r="H123" s="4" t="s">
        <v>262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T123" s="1" t="s">
        <v>261</v>
      </c>
    </row>
    <row r="124" spans="1:72" ht="15" thickBot="1" x14ac:dyDescent="0.4">
      <c r="B124" s="1" t="s">
        <v>259</v>
      </c>
      <c r="C124" s="1" t="s">
        <v>95</v>
      </c>
      <c r="J124" s="1">
        <f>J123-J122</f>
        <v>0</v>
      </c>
      <c r="K124" s="1">
        <f t="shared" ref="K124:AP124" si="76">K123-K122+J124</f>
        <v>0</v>
      </c>
      <c r="L124" s="1">
        <f t="shared" si="76"/>
        <v>0</v>
      </c>
      <c r="M124" s="1">
        <f t="shared" si="76"/>
        <v>0</v>
      </c>
      <c r="N124" s="1">
        <f t="shared" si="76"/>
        <v>0</v>
      </c>
      <c r="O124" s="1">
        <f t="shared" si="76"/>
        <v>0</v>
      </c>
      <c r="P124" s="1">
        <f t="shared" si="76"/>
        <v>0</v>
      </c>
      <c r="Q124" s="1">
        <f t="shared" si="76"/>
        <v>0</v>
      </c>
      <c r="R124" s="1">
        <f t="shared" si="76"/>
        <v>0</v>
      </c>
      <c r="S124" s="1">
        <f t="shared" si="76"/>
        <v>0</v>
      </c>
      <c r="T124" s="1">
        <f t="shared" si="76"/>
        <v>0</v>
      </c>
      <c r="U124" s="1">
        <f t="shared" si="76"/>
        <v>0</v>
      </c>
      <c r="V124" s="1">
        <f t="shared" si="76"/>
        <v>0</v>
      </c>
      <c r="W124" s="1">
        <f t="shared" si="76"/>
        <v>0</v>
      </c>
      <c r="X124" s="1">
        <f t="shared" si="76"/>
        <v>0</v>
      </c>
      <c r="Y124" s="1">
        <f t="shared" si="76"/>
        <v>0</v>
      </c>
      <c r="Z124" s="1">
        <f t="shared" si="76"/>
        <v>0</v>
      </c>
      <c r="AA124" s="1">
        <f t="shared" si="76"/>
        <v>-438</v>
      </c>
      <c r="AB124" s="1">
        <f t="shared" si="76"/>
        <v>-4438</v>
      </c>
      <c r="AC124" s="1">
        <f t="shared" si="76"/>
        <v>-4438</v>
      </c>
      <c r="AD124" s="1">
        <f t="shared" si="76"/>
        <v>-4438</v>
      </c>
      <c r="AE124" s="1">
        <f t="shared" si="76"/>
        <v>-8438</v>
      </c>
      <c r="AF124" s="1">
        <f t="shared" si="76"/>
        <v>-12438</v>
      </c>
      <c r="AG124" s="1">
        <f t="shared" si="76"/>
        <v>-12438</v>
      </c>
      <c r="AH124" s="1">
        <f t="shared" si="76"/>
        <v>-12438</v>
      </c>
      <c r="AI124" s="1">
        <f t="shared" si="76"/>
        <v>-12438</v>
      </c>
      <c r="AJ124" s="1">
        <f t="shared" si="76"/>
        <v>-16438</v>
      </c>
      <c r="AK124" s="1">
        <f t="shared" si="76"/>
        <v>-19438</v>
      </c>
      <c r="AL124" s="1">
        <f t="shared" si="76"/>
        <v>-19438</v>
      </c>
      <c r="AM124" s="1">
        <f t="shared" si="76"/>
        <v>-22438</v>
      </c>
      <c r="AN124" s="1">
        <f t="shared" si="76"/>
        <v>-26438</v>
      </c>
      <c r="AO124" s="1">
        <f t="shared" si="76"/>
        <v>-26438</v>
      </c>
      <c r="AP124" s="1">
        <f t="shared" si="76"/>
        <v>-26438</v>
      </c>
      <c r="AQ124" s="1">
        <f t="shared" ref="AQ124:BJ124" si="77">AQ123-AQ122+AP124</f>
        <v>-26438</v>
      </c>
      <c r="AR124" s="1">
        <f t="shared" si="77"/>
        <v>-30438</v>
      </c>
      <c r="AS124" s="1">
        <f t="shared" si="77"/>
        <v>-33438</v>
      </c>
      <c r="AT124" s="1">
        <f t="shared" si="77"/>
        <v>-33438</v>
      </c>
      <c r="AU124" s="1">
        <f t="shared" si="77"/>
        <v>-33438</v>
      </c>
      <c r="AV124" s="1">
        <f t="shared" si="77"/>
        <v>-37438</v>
      </c>
      <c r="AW124" s="1">
        <f t="shared" si="77"/>
        <v>-38838</v>
      </c>
      <c r="AX124" s="1">
        <f t="shared" si="77"/>
        <v>-38838</v>
      </c>
      <c r="AY124" s="1">
        <f t="shared" si="77"/>
        <v>-38838</v>
      </c>
      <c r="AZ124" s="1">
        <f t="shared" si="77"/>
        <v>-38838</v>
      </c>
      <c r="BA124" s="1">
        <f t="shared" si="77"/>
        <v>-38838</v>
      </c>
      <c r="BB124" s="1">
        <f t="shared" si="77"/>
        <v>-38838</v>
      </c>
      <c r="BC124" s="1">
        <f t="shared" si="77"/>
        <v>-38838</v>
      </c>
      <c r="BD124" s="1">
        <f t="shared" si="77"/>
        <v>-38838</v>
      </c>
      <c r="BE124" s="1">
        <f t="shared" si="77"/>
        <v>-38838</v>
      </c>
      <c r="BF124" s="1">
        <f t="shared" si="77"/>
        <v>-38838</v>
      </c>
      <c r="BG124" s="1">
        <f t="shared" si="77"/>
        <v>-38838</v>
      </c>
      <c r="BH124" s="1">
        <f t="shared" si="77"/>
        <v>-38838</v>
      </c>
      <c r="BI124" s="1">
        <f t="shared" si="77"/>
        <v>-38838</v>
      </c>
      <c r="BJ124" s="1">
        <f t="shared" si="77"/>
        <v>-38838</v>
      </c>
      <c r="BT124" s="1" t="s">
        <v>261</v>
      </c>
    </row>
    <row r="125" spans="1:72" ht="15" thickBot="1" x14ac:dyDescent="0.4">
      <c r="A125" s="1" t="s">
        <v>85</v>
      </c>
      <c r="B125" s="4" t="s">
        <v>263</v>
      </c>
      <c r="C125" s="4" t="s">
        <v>87</v>
      </c>
      <c r="D125" s="4" t="s">
        <v>88</v>
      </c>
      <c r="E125" s="4"/>
      <c r="F125" s="4"/>
      <c r="G125" s="4" t="s">
        <v>89</v>
      </c>
      <c r="H125" s="4" t="s">
        <v>264</v>
      </c>
      <c r="I125" s="4" t="s">
        <v>111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8867</v>
      </c>
      <c r="BB125" s="4">
        <v>30000</v>
      </c>
      <c r="BC125" s="4">
        <v>30000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f>SUM(J125:BK125)</f>
        <v>68867</v>
      </c>
      <c r="BM125" s="4">
        <v>10000</v>
      </c>
      <c r="BN125" s="4">
        <v>0</v>
      </c>
      <c r="BO125" s="4">
        <v>5000</v>
      </c>
      <c r="BP125" s="4">
        <v>0</v>
      </c>
      <c r="BQ125" s="4">
        <v>0</v>
      </c>
      <c r="BR125" s="4"/>
      <c r="BT125" s="1" t="s">
        <v>265</v>
      </c>
    </row>
    <row r="126" spans="1:72" x14ac:dyDescent="0.35">
      <c r="B126" s="1" t="s">
        <v>263</v>
      </c>
      <c r="C126" s="1" t="s">
        <v>93</v>
      </c>
      <c r="H126" s="4" t="s">
        <v>266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T126" s="1" t="s">
        <v>265</v>
      </c>
    </row>
    <row r="127" spans="1:72" ht="15" thickBot="1" x14ac:dyDescent="0.4">
      <c r="B127" s="1" t="s">
        <v>263</v>
      </c>
      <c r="C127" s="1" t="s">
        <v>95</v>
      </c>
      <c r="J127" s="1">
        <f>J126-J125</f>
        <v>0</v>
      </c>
      <c r="K127" s="1">
        <f t="shared" ref="K127:AP127" si="78">K126-K125+J127</f>
        <v>0</v>
      </c>
      <c r="L127" s="1">
        <f t="shared" si="78"/>
        <v>0</v>
      </c>
      <c r="M127" s="1">
        <f t="shared" si="78"/>
        <v>0</v>
      </c>
      <c r="N127" s="1">
        <f t="shared" si="78"/>
        <v>0</v>
      </c>
      <c r="O127" s="1">
        <f t="shared" si="78"/>
        <v>0</v>
      </c>
      <c r="P127" s="1">
        <f t="shared" si="78"/>
        <v>0</v>
      </c>
      <c r="Q127" s="1">
        <f t="shared" si="78"/>
        <v>0</v>
      </c>
      <c r="R127" s="1">
        <f t="shared" si="78"/>
        <v>0</v>
      </c>
      <c r="S127" s="1">
        <f t="shared" si="78"/>
        <v>0</v>
      </c>
      <c r="T127" s="1">
        <f t="shared" si="78"/>
        <v>0</v>
      </c>
      <c r="U127" s="1">
        <f t="shared" si="78"/>
        <v>0</v>
      </c>
      <c r="V127" s="1">
        <f t="shared" si="78"/>
        <v>0</v>
      </c>
      <c r="W127" s="1">
        <f t="shared" si="78"/>
        <v>0</v>
      </c>
      <c r="X127" s="1">
        <f t="shared" si="78"/>
        <v>0</v>
      </c>
      <c r="Y127" s="1">
        <f t="shared" si="78"/>
        <v>0</v>
      </c>
      <c r="Z127" s="1">
        <f t="shared" si="78"/>
        <v>0</v>
      </c>
      <c r="AA127" s="1">
        <f t="shared" si="78"/>
        <v>0</v>
      </c>
      <c r="AB127" s="1">
        <f t="shared" si="78"/>
        <v>0</v>
      </c>
      <c r="AC127" s="1">
        <f t="shared" si="78"/>
        <v>0</v>
      </c>
      <c r="AD127" s="1">
        <f t="shared" si="78"/>
        <v>0</v>
      </c>
      <c r="AE127" s="1">
        <f t="shared" si="78"/>
        <v>0</v>
      </c>
      <c r="AF127" s="1">
        <f t="shared" si="78"/>
        <v>0</v>
      </c>
      <c r="AG127" s="1">
        <f t="shared" si="78"/>
        <v>0</v>
      </c>
      <c r="AH127" s="1">
        <f t="shared" si="78"/>
        <v>0</v>
      </c>
      <c r="AI127" s="1">
        <f t="shared" si="78"/>
        <v>0</v>
      </c>
      <c r="AJ127" s="1">
        <f t="shared" si="78"/>
        <v>0</v>
      </c>
      <c r="AK127" s="1">
        <f t="shared" si="78"/>
        <v>0</v>
      </c>
      <c r="AL127" s="1">
        <f t="shared" si="78"/>
        <v>0</v>
      </c>
      <c r="AM127" s="1">
        <f t="shared" si="78"/>
        <v>0</v>
      </c>
      <c r="AN127" s="1">
        <f t="shared" si="78"/>
        <v>0</v>
      </c>
      <c r="AO127" s="1">
        <f t="shared" si="78"/>
        <v>0</v>
      </c>
      <c r="AP127" s="1">
        <f t="shared" si="78"/>
        <v>0</v>
      </c>
      <c r="AQ127" s="1">
        <f t="shared" ref="AQ127:BJ127" si="79">AQ126-AQ125+AP127</f>
        <v>0</v>
      </c>
      <c r="AR127" s="1">
        <f t="shared" si="79"/>
        <v>0</v>
      </c>
      <c r="AS127" s="1">
        <f t="shared" si="79"/>
        <v>0</v>
      </c>
      <c r="AT127" s="1">
        <f t="shared" si="79"/>
        <v>0</v>
      </c>
      <c r="AU127" s="1">
        <f t="shared" si="79"/>
        <v>0</v>
      </c>
      <c r="AV127" s="1">
        <f t="shared" si="79"/>
        <v>0</v>
      </c>
      <c r="AW127" s="1">
        <f t="shared" si="79"/>
        <v>0</v>
      </c>
      <c r="AX127" s="1">
        <f t="shared" si="79"/>
        <v>0</v>
      </c>
      <c r="AY127" s="1">
        <f t="shared" si="79"/>
        <v>0</v>
      </c>
      <c r="AZ127" s="1">
        <f t="shared" si="79"/>
        <v>0</v>
      </c>
      <c r="BA127" s="1">
        <f t="shared" si="79"/>
        <v>-8867</v>
      </c>
      <c r="BB127" s="1">
        <f t="shared" si="79"/>
        <v>-38867</v>
      </c>
      <c r="BC127" s="1">
        <f t="shared" si="79"/>
        <v>-68867</v>
      </c>
      <c r="BD127" s="1">
        <f t="shared" si="79"/>
        <v>-68867</v>
      </c>
      <c r="BE127" s="1">
        <f t="shared" si="79"/>
        <v>-68867</v>
      </c>
      <c r="BF127" s="1">
        <f t="shared" si="79"/>
        <v>-68867</v>
      </c>
      <c r="BG127" s="1">
        <f t="shared" si="79"/>
        <v>-68867</v>
      </c>
      <c r="BH127" s="1">
        <f t="shared" si="79"/>
        <v>-68867</v>
      </c>
      <c r="BI127" s="1">
        <f t="shared" si="79"/>
        <v>-68867</v>
      </c>
      <c r="BJ127" s="1">
        <f t="shared" si="79"/>
        <v>-68867</v>
      </c>
      <c r="BT127" s="1" t="s">
        <v>265</v>
      </c>
    </row>
    <row r="128" spans="1:72" ht="15" thickBot="1" x14ac:dyDescent="0.4">
      <c r="A128" s="1" t="s">
        <v>85</v>
      </c>
      <c r="B128" s="4" t="s">
        <v>267</v>
      </c>
      <c r="C128" s="4" t="s">
        <v>87</v>
      </c>
      <c r="D128" s="4" t="s">
        <v>88</v>
      </c>
      <c r="E128" s="4"/>
      <c r="F128" s="4"/>
      <c r="G128" s="4" t="s">
        <v>89</v>
      </c>
      <c r="H128" s="4" t="s">
        <v>268</v>
      </c>
      <c r="I128" s="4" t="s">
        <v>269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9917</v>
      </c>
      <c r="BB128" s="4">
        <v>10000</v>
      </c>
      <c r="BC128" s="4">
        <v>10000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f>SUM(J128:BK128)</f>
        <v>29917</v>
      </c>
      <c r="BM128" s="4">
        <v>10000</v>
      </c>
      <c r="BN128" s="4">
        <v>0</v>
      </c>
      <c r="BO128" s="4">
        <v>5000</v>
      </c>
      <c r="BP128" s="4">
        <v>0</v>
      </c>
      <c r="BQ128" s="4">
        <v>0</v>
      </c>
      <c r="BR128" s="4"/>
      <c r="BT128" s="1" t="s">
        <v>270</v>
      </c>
    </row>
    <row r="129" spans="1:72" x14ac:dyDescent="0.35">
      <c r="B129" s="1" t="s">
        <v>267</v>
      </c>
      <c r="C129" s="1" t="s">
        <v>93</v>
      </c>
      <c r="H129" s="4" t="s">
        <v>271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T129" s="1" t="s">
        <v>270</v>
      </c>
    </row>
    <row r="130" spans="1:72" ht="15" thickBot="1" x14ac:dyDescent="0.4">
      <c r="B130" s="1" t="s">
        <v>267</v>
      </c>
      <c r="C130" s="1" t="s">
        <v>95</v>
      </c>
      <c r="J130" s="1">
        <f>J129-J128</f>
        <v>0</v>
      </c>
      <c r="K130" s="1">
        <f t="shared" ref="K130:AP130" si="80">K129-K128+J130</f>
        <v>0</v>
      </c>
      <c r="L130" s="1">
        <f t="shared" si="80"/>
        <v>0</v>
      </c>
      <c r="M130" s="1">
        <f t="shared" si="80"/>
        <v>0</v>
      </c>
      <c r="N130" s="1">
        <f t="shared" si="80"/>
        <v>0</v>
      </c>
      <c r="O130" s="1">
        <f t="shared" si="80"/>
        <v>0</v>
      </c>
      <c r="P130" s="1">
        <f t="shared" si="80"/>
        <v>0</v>
      </c>
      <c r="Q130" s="1">
        <f t="shared" si="80"/>
        <v>0</v>
      </c>
      <c r="R130" s="1">
        <f t="shared" si="80"/>
        <v>0</v>
      </c>
      <c r="S130" s="1">
        <f t="shared" si="80"/>
        <v>0</v>
      </c>
      <c r="T130" s="1">
        <f t="shared" si="80"/>
        <v>0</v>
      </c>
      <c r="U130" s="1">
        <f t="shared" si="80"/>
        <v>0</v>
      </c>
      <c r="V130" s="1">
        <f t="shared" si="80"/>
        <v>0</v>
      </c>
      <c r="W130" s="1">
        <f t="shared" si="80"/>
        <v>0</v>
      </c>
      <c r="X130" s="1">
        <f t="shared" si="80"/>
        <v>0</v>
      </c>
      <c r="Y130" s="1">
        <f t="shared" si="80"/>
        <v>0</v>
      </c>
      <c r="Z130" s="1">
        <f t="shared" si="80"/>
        <v>0</v>
      </c>
      <c r="AA130" s="1">
        <f t="shared" si="80"/>
        <v>0</v>
      </c>
      <c r="AB130" s="1">
        <f t="shared" si="80"/>
        <v>0</v>
      </c>
      <c r="AC130" s="1">
        <f t="shared" si="80"/>
        <v>0</v>
      </c>
      <c r="AD130" s="1">
        <f t="shared" si="80"/>
        <v>0</v>
      </c>
      <c r="AE130" s="1">
        <f t="shared" si="80"/>
        <v>0</v>
      </c>
      <c r="AF130" s="1">
        <f t="shared" si="80"/>
        <v>0</v>
      </c>
      <c r="AG130" s="1">
        <f t="shared" si="80"/>
        <v>0</v>
      </c>
      <c r="AH130" s="1">
        <f t="shared" si="80"/>
        <v>0</v>
      </c>
      <c r="AI130" s="1">
        <f t="shared" si="80"/>
        <v>0</v>
      </c>
      <c r="AJ130" s="1">
        <f t="shared" si="80"/>
        <v>0</v>
      </c>
      <c r="AK130" s="1">
        <f t="shared" si="80"/>
        <v>0</v>
      </c>
      <c r="AL130" s="1">
        <f t="shared" si="80"/>
        <v>0</v>
      </c>
      <c r="AM130" s="1">
        <f t="shared" si="80"/>
        <v>0</v>
      </c>
      <c r="AN130" s="1">
        <f t="shared" si="80"/>
        <v>0</v>
      </c>
      <c r="AO130" s="1">
        <f t="shared" si="80"/>
        <v>0</v>
      </c>
      <c r="AP130" s="1">
        <f t="shared" si="80"/>
        <v>0</v>
      </c>
      <c r="AQ130" s="1">
        <f t="shared" ref="AQ130:BJ130" si="81">AQ129-AQ128+AP130</f>
        <v>0</v>
      </c>
      <c r="AR130" s="1">
        <f t="shared" si="81"/>
        <v>0</v>
      </c>
      <c r="AS130" s="1">
        <f t="shared" si="81"/>
        <v>0</v>
      </c>
      <c r="AT130" s="1">
        <f t="shared" si="81"/>
        <v>0</v>
      </c>
      <c r="AU130" s="1">
        <f t="shared" si="81"/>
        <v>0</v>
      </c>
      <c r="AV130" s="1">
        <f t="shared" si="81"/>
        <v>0</v>
      </c>
      <c r="AW130" s="1">
        <f t="shared" si="81"/>
        <v>0</v>
      </c>
      <c r="AX130" s="1">
        <f t="shared" si="81"/>
        <v>0</v>
      </c>
      <c r="AY130" s="1">
        <f t="shared" si="81"/>
        <v>0</v>
      </c>
      <c r="AZ130" s="1">
        <f t="shared" si="81"/>
        <v>0</v>
      </c>
      <c r="BA130" s="1">
        <f t="shared" si="81"/>
        <v>-9917</v>
      </c>
      <c r="BB130" s="1">
        <f t="shared" si="81"/>
        <v>-19917</v>
      </c>
      <c r="BC130" s="1">
        <f t="shared" si="81"/>
        <v>-29917</v>
      </c>
      <c r="BD130" s="1">
        <f t="shared" si="81"/>
        <v>-29917</v>
      </c>
      <c r="BE130" s="1">
        <f t="shared" si="81"/>
        <v>-29917</v>
      </c>
      <c r="BF130" s="1">
        <f t="shared" si="81"/>
        <v>-29917</v>
      </c>
      <c r="BG130" s="1">
        <f t="shared" si="81"/>
        <v>-29917</v>
      </c>
      <c r="BH130" s="1">
        <f t="shared" si="81"/>
        <v>-29917</v>
      </c>
      <c r="BI130" s="1">
        <f t="shared" si="81"/>
        <v>-29917</v>
      </c>
      <c r="BJ130" s="1">
        <f t="shared" si="81"/>
        <v>-29917</v>
      </c>
      <c r="BT130" s="1" t="s">
        <v>270</v>
      </c>
    </row>
    <row r="131" spans="1:72" ht="15" thickBot="1" x14ac:dyDescent="0.4">
      <c r="A131" s="1" t="s">
        <v>85</v>
      </c>
      <c r="B131" s="4" t="s">
        <v>272</v>
      </c>
      <c r="C131" s="4" t="s">
        <v>87</v>
      </c>
      <c r="D131" s="4" t="s">
        <v>88</v>
      </c>
      <c r="E131" s="4"/>
      <c r="F131" s="4"/>
      <c r="G131" s="4" t="s">
        <v>89</v>
      </c>
      <c r="H131" s="4" t="s">
        <v>273</v>
      </c>
      <c r="I131" s="4" t="s">
        <v>269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900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1500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f>SUM(J131:BK131)</f>
        <v>2400</v>
      </c>
      <c r="BM131" s="4">
        <v>0</v>
      </c>
      <c r="BN131" s="4">
        <v>0</v>
      </c>
      <c r="BO131" s="4">
        <v>3000</v>
      </c>
      <c r="BP131" s="4">
        <v>0</v>
      </c>
      <c r="BQ131" s="4">
        <v>0</v>
      </c>
      <c r="BR131" s="4"/>
      <c r="BT131" s="1" t="s">
        <v>274</v>
      </c>
    </row>
    <row r="132" spans="1:72" x14ac:dyDescent="0.35">
      <c r="B132" s="1" t="s">
        <v>272</v>
      </c>
      <c r="C132" s="1" t="s">
        <v>93</v>
      </c>
      <c r="H132" s="4" t="s">
        <v>275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T132" s="1" t="s">
        <v>274</v>
      </c>
    </row>
    <row r="133" spans="1:72" ht="15" thickBot="1" x14ac:dyDescent="0.4">
      <c r="B133" s="1" t="s">
        <v>272</v>
      </c>
      <c r="C133" s="1" t="s">
        <v>95</v>
      </c>
      <c r="J133" s="1">
        <f>J132-J131</f>
        <v>0</v>
      </c>
      <c r="K133" s="1">
        <f t="shared" ref="K133:AP133" si="82">K132-K131+J133</f>
        <v>0</v>
      </c>
      <c r="L133" s="1">
        <f t="shared" si="82"/>
        <v>0</v>
      </c>
      <c r="M133" s="1">
        <f t="shared" si="82"/>
        <v>0</v>
      </c>
      <c r="N133" s="1">
        <f t="shared" si="82"/>
        <v>0</v>
      </c>
      <c r="O133" s="1">
        <f t="shared" si="82"/>
        <v>0</v>
      </c>
      <c r="P133" s="1">
        <f t="shared" si="82"/>
        <v>0</v>
      </c>
      <c r="Q133" s="1">
        <f t="shared" si="82"/>
        <v>0</v>
      </c>
      <c r="R133" s="1">
        <f t="shared" si="82"/>
        <v>0</v>
      </c>
      <c r="S133" s="1">
        <f t="shared" si="82"/>
        <v>0</v>
      </c>
      <c r="T133" s="1">
        <f t="shared" si="82"/>
        <v>0</v>
      </c>
      <c r="U133" s="1">
        <f t="shared" si="82"/>
        <v>0</v>
      </c>
      <c r="V133" s="1">
        <f t="shared" si="82"/>
        <v>0</v>
      </c>
      <c r="W133" s="1">
        <f t="shared" si="82"/>
        <v>0</v>
      </c>
      <c r="X133" s="1">
        <f t="shared" si="82"/>
        <v>0</v>
      </c>
      <c r="Y133" s="1">
        <f t="shared" si="82"/>
        <v>0</v>
      </c>
      <c r="Z133" s="1">
        <f t="shared" si="82"/>
        <v>0</v>
      </c>
      <c r="AA133" s="1">
        <f t="shared" si="82"/>
        <v>0</v>
      </c>
      <c r="AB133" s="1">
        <f t="shared" si="82"/>
        <v>0</v>
      </c>
      <c r="AC133" s="1">
        <f t="shared" si="82"/>
        <v>0</v>
      </c>
      <c r="AD133" s="1">
        <f t="shared" si="82"/>
        <v>0</v>
      </c>
      <c r="AE133" s="1">
        <f t="shared" si="82"/>
        <v>-900</v>
      </c>
      <c r="AF133" s="1">
        <f t="shared" si="82"/>
        <v>-900</v>
      </c>
      <c r="AG133" s="1">
        <f t="shared" si="82"/>
        <v>-900</v>
      </c>
      <c r="AH133" s="1">
        <f t="shared" si="82"/>
        <v>-900</v>
      </c>
      <c r="AI133" s="1">
        <f t="shared" si="82"/>
        <v>-900</v>
      </c>
      <c r="AJ133" s="1">
        <f t="shared" si="82"/>
        <v>-900</v>
      </c>
      <c r="AK133" s="1">
        <f t="shared" si="82"/>
        <v>-900</v>
      </c>
      <c r="AL133" s="1">
        <f t="shared" si="82"/>
        <v>-900</v>
      </c>
      <c r="AM133" s="1">
        <f t="shared" si="82"/>
        <v>-900</v>
      </c>
      <c r="AN133" s="1">
        <f t="shared" si="82"/>
        <v>-2400</v>
      </c>
      <c r="AO133" s="1">
        <f t="shared" si="82"/>
        <v>-2400</v>
      </c>
      <c r="AP133" s="1">
        <f t="shared" si="82"/>
        <v>-2400</v>
      </c>
      <c r="AQ133" s="1">
        <f t="shared" ref="AQ133:BJ133" si="83">AQ132-AQ131+AP133</f>
        <v>-2400</v>
      </c>
      <c r="AR133" s="1">
        <f t="shared" si="83"/>
        <v>-2400</v>
      </c>
      <c r="AS133" s="1">
        <f t="shared" si="83"/>
        <v>-2400</v>
      </c>
      <c r="AT133" s="1">
        <f t="shared" si="83"/>
        <v>-2400</v>
      </c>
      <c r="AU133" s="1">
        <f t="shared" si="83"/>
        <v>-2400</v>
      </c>
      <c r="AV133" s="1">
        <f t="shared" si="83"/>
        <v>-2400</v>
      </c>
      <c r="AW133" s="1">
        <f t="shared" si="83"/>
        <v>-2400</v>
      </c>
      <c r="AX133" s="1">
        <f t="shared" si="83"/>
        <v>-2400</v>
      </c>
      <c r="AY133" s="1">
        <f t="shared" si="83"/>
        <v>-2400</v>
      </c>
      <c r="AZ133" s="1">
        <f t="shared" si="83"/>
        <v>-2400</v>
      </c>
      <c r="BA133" s="1">
        <f t="shared" si="83"/>
        <v>-2400</v>
      </c>
      <c r="BB133" s="1">
        <f t="shared" si="83"/>
        <v>-2400</v>
      </c>
      <c r="BC133" s="1">
        <f t="shared" si="83"/>
        <v>-2400</v>
      </c>
      <c r="BD133" s="1">
        <f t="shared" si="83"/>
        <v>-2400</v>
      </c>
      <c r="BE133" s="1">
        <f t="shared" si="83"/>
        <v>-2400</v>
      </c>
      <c r="BF133" s="1">
        <f t="shared" si="83"/>
        <v>-2400</v>
      </c>
      <c r="BG133" s="1">
        <f t="shared" si="83"/>
        <v>-2400</v>
      </c>
      <c r="BH133" s="1">
        <f t="shared" si="83"/>
        <v>-2400</v>
      </c>
      <c r="BI133" s="1">
        <f t="shared" si="83"/>
        <v>-2400</v>
      </c>
      <c r="BJ133" s="1">
        <f t="shared" si="83"/>
        <v>-2400</v>
      </c>
      <c r="BT133" s="1" t="s">
        <v>274</v>
      </c>
    </row>
    <row r="134" spans="1:72" ht="15" thickBot="1" x14ac:dyDescent="0.4">
      <c r="A134" s="1" t="s">
        <v>85</v>
      </c>
      <c r="B134" s="4" t="s">
        <v>276</v>
      </c>
      <c r="C134" s="4" t="s">
        <v>87</v>
      </c>
      <c r="D134" s="4" t="s">
        <v>88</v>
      </c>
      <c r="E134" s="4"/>
      <c r="F134" s="4"/>
      <c r="G134" s="4" t="s">
        <v>89</v>
      </c>
      <c r="H134" s="4" t="s">
        <v>277</v>
      </c>
      <c r="I134" s="4" t="s">
        <v>98</v>
      </c>
      <c r="J134" s="4">
        <v>0</v>
      </c>
      <c r="K134" s="4">
        <v>0</v>
      </c>
      <c r="L134" s="4">
        <v>2511</v>
      </c>
      <c r="M134" s="4">
        <v>4504</v>
      </c>
      <c r="N134" s="4">
        <v>0</v>
      </c>
      <c r="O134" s="4">
        <v>0</v>
      </c>
      <c r="P134" s="4">
        <v>0</v>
      </c>
      <c r="Q134" s="4">
        <v>0</v>
      </c>
      <c r="R134" s="4">
        <v>8504</v>
      </c>
      <c r="S134" s="4">
        <v>1000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1000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500</v>
      </c>
      <c r="AH134" s="4">
        <v>0</v>
      </c>
      <c r="AI134" s="4">
        <v>0</v>
      </c>
      <c r="AJ134" s="4">
        <v>1000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1000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f>SUM(J134:BK134)</f>
        <v>20019</v>
      </c>
      <c r="BM134" s="4">
        <v>25000</v>
      </c>
      <c r="BN134" s="4">
        <v>0</v>
      </c>
      <c r="BO134" s="4">
        <v>5000</v>
      </c>
      <c r="BP134" s="4">
        <v>0</v>
      </c>
      <c r="BQ134" s="4">
        <v>0</v>
      </c>
      <c r="BR134" s="4"/>
      <c r="BT134" s="1" t="s">
        <v>278</v>
      </c>
    </row>
    <row r="135" spans="1:72" x14ac:dyDescent="0.35">
      <c r="B135" s="1" t="s">
        <v>276</v>
      </c>
      <c r="C135" s="1" t="s">
        <v>93</v>
      </c>
      <c r="H135" s="4" t="s">
        <v>279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T135" s="1" t="s">
        <v>278</v>
      </c>
    </row>
    <row r="136" spans="1:72" ht="15" thickBot="1" x14ac:dyDescent="0.4">
      <c r="B136" s="1" t="s">
        <v>276</v>
      </c>
      <c r="C136" s="1" t="s">
        <v>95</v>
      </c>
      <c r="J136" s="1">
        <f>J135-J134</f>
        <v>0</v>
      </c>
      <c r="K136" s="1">
        <f t="shared" ref="K136:AP136" si="84">K135-K134+J136</f>
        <v>0</v>
      </c>
      <c r="L136" s="1">
        <f t="shared" si="84"/>
        <v>-2511</v>
      </c>
      <c r="M136" s="1">
        <f t="shared" si="84"/>
        <v>-7015</v>
      </c>
      <c r="N136" s="1">
        <f t="shared" si="84"/>
        <v>-7015</v>
      </c>
      <c r="O136" s="1">
        <f t="shared" si="84"/>
        <v>-7015</v>
      </c>
      <c r="P136" s="1">
        <f t="shared" si="84"/>
        <v>-7015</v>
      </c>
      <c r="Q136" s="1">
        <f t="shared" si="84"/>
        <v>-7015</v>
      </c>
      <c r="R136" s="1">
        <f t="shared" si="84"/>
        <v>-15519</v>
      </c>
      <c r="S136" s="1">
        <f t="shared" si="84"/>
        <v>-16519</v>
      </c>
      <c r="T136" s="1">
        <f t="shared" si="84"/>
        <v>-16519</v>
      </c>
      <c r="U136" s="1">
        <f t="shared" si="84"/>
        <v>-16519</v>
      </c>
      <c r="V136" s="1">
        <f t="shared" si="84"/>
        <v>-16519</v>
      </c>
      <c r="W136" s="1">
        <f t="shared" si="84"/>
        <v>-16519</v>
      </c>
      <c r="X136" s="1">
        <f t="shared" si="84"/>
        <v>-16519</v>
      </c>
      <c r="Y136" s="1">
        <f t="shared" si="84"/>
        <v>-16519</v>
      </c>
      <c r="Z136" s="1">
        <f t="shared" si="84"/>
        <v>-16519</v>
      </c>
      <c r="AA136" s="1">
        <f t="shared" si="84"/>
        <v>-17519</v>
      </c>
      <c r="AB136" s="1">
        <f t="shared" si="84"/>
        <v>-17519</v>
      </c>
      <c r="AC136" s="1">
        <f t="shared" si="84"/>
        <v>-17519</v>
      </c>
      <c r="AD136" s="1">
        <f t="shared" si="84"/>
        <v>-17519</v>
      </c>
      <c r="AE136" s="1">
        <f t="shared" si="84"/>
        <v>-17519</v>
      </c>
      <c r="AF136" s="1">
        <f t="shared" si="84"/>
        <v>-17519</v>
      </c>
      <c r="AG136" s="1">
        <f t="shared" si="84"/>
        <v>-18019</v>
      </c>
      <c r="AH136" s="1">
        <f t="shared" si="84"/>
        <v>-18019</v>
      </c>
      <c r="AI136" s="1">
        <f t="shared" si="84"/>
        <v>-18019</v>
      </c>
      <c r="AJ136" s="1">
        <f t="shared" si="84"/>
        <v>-19019</v>
      </c>
      <c r="AK136" s="1">
        <f t="shared" si="84"/>
        <v>-19019</v>
      </c>
      <c r="AL136" s="1">
        <f t="shared" si="84"/>
        <v>-19019</v>
      </c>
      <c r="AM136" s="1">
        <f t="shared" si="84"/>
        <v>-19019</v>
      </c>
      <c r="AN136" s="1">
        <f t="shared" si="84"/>
        <v>-19019</v>
      </c>
      <c r="AO136" s="1">
        <f t="shared" si="84"/>
        <v>-19019</v>
      </c>
      <c r="AP136" s="1">
        <f t="shared" si="84"/>
        <v>-19019</v>
      </c>
      <c r="AQ136" s="1">
        <f t="shared" ref="AQ136:BJ136" si="85">AQ135-AQ134+AP136</f>
        <v>-19019</v>
      </c>
      <c r="AR136" s="1">
        <f t="shared" si="85"/>
        <v>-19019</v>
      </c>
      <c r="AS136" s="1">
        <f t="shared" si="85"/>
        <v>-20019</v>
      </c>
      <c r="AT136" s="1">
        <f t="shared" si="85"/>
        <v>-20019</v>
      </c>
      <c r="AU136" s="1">
        <f t="shared" si="85"/>
        <v>-20019</v>
      </c>
      <c r="AV136" s="1">
        <f t="shared" si="85"/>
        <v>-20019</v>
      </c>
      <c r="AW136" s="1">
        <f t="shared" si="85"/>
        <v>-20019</v>
      </c>
      <c r="AX136" s="1">
        <f t="shared" si="85"/>
        <v>-20019</v>
      </c>
      <c r="AY136" s="1">
        <f t="shared" si="85"/>
        <v>-20019</v>
      </c>
      <c r="AZ136" s="1">
        <f t="shared" si="85"/>
        <v>-20019</v>
      </c>
      <c r="BA136" s="1">
        <f t="shared" si="85"/>
        <v>-20019</v>
      </c>
      <c r="BB136" s="1">
        <f t="shared" si="85"/>
        <v>-20019</v>
      </c>
      <c r="BC136" s="1">
        <f t="shared" si="85"/>
        <v>-20019</v>
      </c>
      <c r="BD136" s="1">
        <f t="shared" si="85"/>
        <v>-20019</v>
      </c>
      <c r="BE136" s="1">
        <f t="shared" si="85"/>
        <v>-20019</v>
      </c>
      <c r="BF136" s="1">
        <f t="shared" si="85"/>
        <v>-20019</v>
      </c>
      <c r="BG136" s="1">
        <f t="shared" si="85"/>
        <v>-20019</v>
      </c>
      <c r="BH136" s="1">
        <f t="shared" si="85"/>
        <v>-20019</v>
      </c>
      <c r="BI136" s="1">
        <f t="shared" si="85"/>
        <v>-20019</v>
      </c>
      <c r="BJ136" s="1">
        <f t="shared" si="85"/>
        <v>-20019</v>
      </c>
      <c r="BT136" s="1" t="s">
        <v>278</v>
      </c>
    </row>
    <row r="137" spans="1:72" ht="15" thickBot="1" x14ac:dyDescent="0.4">
      <c r="A137" s="1" t="s">
        <v>85</v>
      </c>
      <c r="B137" s="4" t="s">
        <v>280</v>
      </c>
      <c r="C137" s="4" t="s">
        <v>87</v>
      </c>
      <c r="D137" s="4" t="s">
        <v>88</v>
      </c>
      <c r="E137" s="4"/>
      <c r="F137" s="4"/>
      <c r="G137" s="4" t="s">
        <v>89</v>
      </c>
      <c r="H137" s="4" t="s">
        <v>281</v>
      </c>
      <c r="I137" s="4" t="s">
        <v>154</v>
      </c>
      <c r="J137" s="4">
        <v>20745</v>
      </c>
      <c r="K137" s="4">
        <v>2016</v>
      </c>
      <c r="L137" s="4">
        <v>11088</v>
      </c>
      <c r="M137" s="4">
        <v>5040</v>
      </c>
      <c r="N137" s="4">
        <v>0</v>
      </c>
      <c r="O137" s="4">
        <v>0</v>
      </c>
      <c r="P137" s="4">
        <v>0</v>
      </c>
      <c r="Q137" s="4">
        <v>0</v>
      </c>
      <c r="R137" s="4">
        <v>15898</v>
      </c>
      <c r="S137" s="4">
        <v>0</v>
      </c>
      <c r="T137" s="4">
        <v>0</v>
      </c>
      <c r="U137" s="4">
        <v>0</v>
      </c>
      <c r="V137" s="4">
        <v>0</v>
      </c>
      <c r="W137" s="4">
        <v>21500</v>
      </c>
      <c r="X137" s="4">
        <v>0</v>
      </c>
      <c r="Y137" s="4">
        <v>0</v>
      </c>
      <c r="Z137" s="4">
        <v>0</v>
      </c>
      <c r="AA137" s="4">
        <v>19000</v>
      </c>
      <c r="AB137" s="4">
        <v>0</v>
      </c>
      <c r="AC137" s="4">
        <v>0</v>
      </c>
      <c r="AD137" s="4">
        <v>0</v>
      </c>
      <c r="AE137" s="4">
        <v>4000</v>
      </c>
      <c r="AF137" s="4">
        <v>15000</v>
      </c>
      <c r="AG137" s="4">
        <v>0</v>
      </c>
      <c r="AH137" s="4">
        <v>0</v>
      </c>
      <c r="AI137" s="4">
        <v>0</v>
      </c>
      <c r="AJ137" s="4">
        <v>19000</v>
      </c>
      <c r="AK137" s="4">
        <v>0</v>
      </c>
      <c r="AL137" s="4">
        <v>0</v>
      </c>
      <c r="AM137" s="4">
        <v>0</v>
      </c>
      <c r="AN137" s="4">
        <v>19000</v>
      </c>
      <c r="AO137" s="4">
        <v>0</v>
      </c>
      <c r="AP137" s="4">
        <v>0</v>
      </c>
      <c r="AQ137" s="4">
        <v>0</v>
      </c>
      <c r="AR137" s="4">
        <v>4000</v>
      </c>
      <c r="AS137" s="4">
        <v>15000</v>
      </c>
      <c r="AT137" s="4">
        <v>0</v>
      </c>
      <c r="AU137" s="4">
        <v>0</v>
      </c>
      <c r="AV137" s="4">
        <v>0</v>
      </c>
      <c r="AW137" s="4">
        <v>15000</v>
      </c>
      <c r="AX137" s="4">
        <v>0</v>
      </c>
      <c r="AY137" s="4">
        <v>0</v>
      </c>
      <c r="AZ137" s="4">
        <v>10000</v>
      </c>
      <c r="BA137" s="4">
        <v>7000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f>SUM(J137:BK137)</f>
        <v>203287</v>
      </c>
      <c r="BM137" s="4">
        <v>100800</v>
      </c>
      <c r="BN137" s="4">
        <v>0</v>
      </c>
      <c r="BO137" s="4">
        <v>1800</v>
      </c>
      <c r="BP137" s="4">
        <v>0</v>
      </c>
      <c r="BQ137" s="4">
        <v>0</v>
      </c>
      <c r="BR137" s="4"/>
      <c r="BT137" s="1" t="s">
        <v>282</v>
      </c>
    </row>
    <row r="138" spans="1:72" x14ac:dyDescent="0.35">
      <c r="B138" s="1" t="s">
        <v>280</v>
      </c>
      <c r="C138" s="1" t="s">
        <v>93</v>
      </c>
      <c r="H138" s="4" t="s">
        <v>283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T138" s="1" t="s">
        <v>282</v>
      </c>
    </row>
    <row r="139" spans="1:72" ht="15" thickBot="1" x14ac:dyDescent="0.4">
      <c r="B139" s="1" t="s">
        <v>280</v>
      </c>
      <c r="C139" s="1" t="s">
        <v>95</v>
      </c>
      <c r="J139" s="1">
        <f>J138-J137</f>
        <v>-20745</v>
      </c>
      <c r="K139" s="1">
        <f t="shared" ref="K139:AP139" si="86">K138-K137+J139</f>
        <v>-22761</v>
      </c>
      <c r="L139" s="1">
        <f t="shared" si="86"/>
        <v>-33849</v>
      </c>
      <c r="M139" s="1">
        <f t="shared" si="86"/>
        <v>-38889</v>
      </c>
      <c r="N139" s="1">
        <f t="shared" si="86"/>
        <v>-38889</v>
      </c>
      <c r="O139" s="1">
        <f t="shared" si="86"/>
        <v>-38889</v>
      </c>
      <c r="P139" s="1">
        <f t="shared" si="86"/>
        <v>-38889</v>
      </c>
      <c r="Q139" s="1">
        <f t="shared" si="86"/>
        <v>-38889</v>
      </c>
      <c r="R139" s="1">
        <f t="shared" si="86"/>
        <v>-54787</v>
      </c>
      <c r="S139" s="1">
        <f t="shared" si="86"/>
        <v>-54787</v>
      </c>
      <c r="T139" s="1">
        <f t="shared" si="86"/>
        <v>-54787</v>
      </c>
      <c r="U139" s="1">
        <f t="shared" si="86"/>
        <v>-54787</v>
      </c>
      <c r="V139" s="1">
        <f t="shared" si="86"/>
        <v>-54787</v>
      </c>
      <c r="W139" s="1">
        <f t="shared" si="86"/>
        <v>-76287</v>
      </c>
      <c r="X139" s="1">
        <f t="shared" si="86"/>
        <v>-76287</v>
      </c>
      <c r="Y139" s="1">
        <f t="shared" si="86"/>
        <v>-76287</v>
      </c>
      <c r="Z139" s="1">
        <f t="shared" si="86"/>
        <v>-76287</v>
      </c>
      <c r="AA139" s="1">
        <f t="shared" si="86"/>
        <v>-95287</v>
      </c>
      <c r="AB139" s="1">
        <f t="shared" si="86"/>
        <v>-95287</v>
      </c>
      <c r="AC139" s="1">
        <f t="shared" si="86"/>
        <v>-95287</v>
      </c>
      <c r="AD139" s="1">
        <f t="shared" si="86"/>
        <v>-95287</v>
      </c>
      <c r="AE139" s="1">
        <f t="shared" si="86"/>
        <v>-99287</v>
      </c>
      <c r="AF139" s="1">
        <f t="shared" si="86"/>
        <v>-114287</v>
      </c>
      <c r="AG139" s="1">
        <f t="shared" si="86"/>
        <v>-114287</v>
      </c>
      <c r="AH139" s="1">
        <f t="shared" si="86"/>
        <v>-114287</v>
      </c>
      <c r="AI139" s="1">
        <f t="shared" si="86"/>
        <v>-114287</v>
      </c>
      <c r="AJ139" s="1">
        <f t="shared" si="86"/>
        <v>-133287</v>
      </c>
      <c r="AK139" s="1">
        <f t="shared" si="86"/>
        <v>-133287</v>
      </c>
      <c r="AL139" s="1">
        <f t="shared" si="86"/>
        <v>-133287</v>
      </c>
      <c r="AM139" s="1">
        <f t="shared" si="86"/>
        <v>-133287</v>
      </c>
      <c r="AN139" s="1">
        <f t="shared" si="86"/>
        <v>-152287</v>
      </c>
      <c r="AO139" s="1">
        <f t="shared" si="86"/>
        <v>-152287</v>
      </c>
      <c r="AP139" s="1">
        <f t="shared" si="86"/>
        <v>-152287</v>
      </c>
      <c r="AQ139" s="1">
        <f t="shared" ref="AQ139:BJ139" si="87">AQ138-AQ137+AP139</f>
        <v>-152287</v>
      </c>
      <c r="AR139" s="1">
        <f t="shared" si="87"/>
        <v>-156287</v>
      </c>
      <c r="AS139" s="1">
        <f t="shared" si="87"/>
        <v>-171287</v>
      </c>
      <c r="AT139" s="1">
        <f t="shared" si="87"/>
        <v>-171287</v>
      </c>
      <c r="AU139" s="1">
        <f t="shared" si="87"/>
        <v>-171287</v>
      </c>
      <c r="AV139" s="1">
        <f t="shared" si="87"/>
        <v>-171287</v>
      </c>
      <c r="AW139" s="1">
        <f t="shared" si="87"/>
        <v>-186287</v>
      </c>
      <c r="AX139" s="1">
        <f t="shared" si="87"/>
        <v>-186287</v>
      </c>
      <c r="AY139" s="1">
        <f t="shared" si="87"/>
        <v>-186287</v>
      </c>
      <c r="AZ139" s="1">
        <f t="shared" si="87"/>
        <v>-196287</v>
      </c>
      <c r="BA139" s="1">
        <f t="shared" si="87"/>
        <v>-203287</v>
      </c>
      <c r="BB139" s="1">
        <f t="shared" si="87"/>
        <v>-203287</v>
      </c>
      <c r="BC139" s="1">
        <f t="shared" si="87"/>
        <v>-203287</v>
      </c>
      <c r="BD139" s="1">
        <f t="shared" si="87"/>
        <v>-203287</v>
      </c>
      <c r="BE139" s="1">
        <f t="shared" si="87"/>
        <v>-203287</v>
      </c>
      <c r="BF139" s="1">
        <f t="shared" si="87"/>
        <v>-203287</v>
      </c>
      <c r="BG139" s="1">
        <f t="shared" si="87"/>
        <v>-203287</v>
      </c>
      <c r="BH139" s="1">
        <f t="shared" si="87"/>
        <v>-203287</v>
      </c>
      <c r="BI139" s="1">
        <f t="shared" si="87"/>
        <v>-203287</v>
      </c>
      <c r="BJ139" s="1">
        <f t="shared" si="87"/>
        <v>-203287</v>
      </c>
      <c r="BT139" s="1" t="s">
        <v>282</v>
      </c>
    </row>
    <row r="140" spans="1:72" ht="15" thickBot="1" x14ac:dyDescent="0.4">
      <c r="A140" s="1" t="s">
        <v>85</v>
      </c>
      <c r="B140" s="4" t="s">
        <v>284</v>
      </c>
      <c r="C140" s="4" t="s">
        <v>87</v>
      </c>
      <c r="D140" s="4" t="s">
        <v>88</v>
      </c>
      <c r="E140" s="4"/>
      <c r="F140" s="4"/>
      <c r="G140" s="4" t="s">
        <v>89</v>
      </c>
      <c r="H140" s="4" t="s">
        <v>285</v>
      </c>
      <c r="I140" s="4" t="s">
        <v>286</v>
      </c>
      <c r="J140" s="4">
        <v>0</v>
      </c>
      <c r="K140" s="4">
        <v>977</v>
      </c>
      <c r="L140" s="4">
        <v>8468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8258</v>
      </c>
      <c r="S140" s="4">
        <v>0</v>
      </c>
      <c r="T140" s="4">
        <v>0</v>
      </c>
      <c r="U140" s="4">
        <v>0</v>
      </c>
      <c r="V140" s="4">
        <v>0</v>
      </c>
      <c r="W140" s="4">
        <v>9100</v>
      </c>
      <c r="X140" s="4">
        <v>0</v>
      </c>
      <c r="Y140" s="4">
        <v>0</v>
      </c>
      <c r="Z140" s="4">
        <v>0</v>
      </c>
      <c r="AA140" s="4">
        <v>5600</v>
      </c>
      <c r="AB140" s="4">
        <v>0</v>
      </c>
      <c r="AC140" s="4">
        <v>0</v>
      </c>
      <c r="AD140" s="4">
        <v>0</v>
      </c>
      <c r="AE140" s="4">
        <v>5600</v>
      </c>
      <c r="AF140" s="4">
        <v>0</v>
      </c>
      <c r="AG140" s="4">
        <v>0</v>
      </c>
      <c r="AH140" s="4">
        <v>0</v>
      </c>
      <c r="AI140" s="4">
        <v>0</v>
      </c>
      <c r="AJ140" s="4">
        <v>5600</v>
      </c>
      <c r="AK140" s="4">
        <v>0</v>
      </c>
      <c r="AL140" s="4">
        <v>0</v>
      </c>
      <c r="AM140" s="4">
        <v>0</v>
      </c>
      <c r="AN140" s="4">
        <v>5600</v>
      </c>
      <c r="AO140" s="4">
        <v>0</v>
      </c>
      <c r="AP140" s="4">
        <v>0</v>
      </c>
      <c r="AQ140" s="4">
        <v>0</v>
      </c>
      <c r="AR140" s="4">
        <v>5600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7000</v>
      </c>
      <c r="BA140" s="4">
        <v>9800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f>SUM(J140:BK140)</f>
        <v>71603</v>
      </c>
      <c r="BM140" s="4">
        <v>60000</v>
      </c>
      <c r="BN140" s="4">
        <v>0</v>
      </c>
      <c r="BO140" s="4">
        <v>5000</v>
      </c>
      <c r="BP140" s="4">
        <v>0</v>
      </c>
      <c r="BQ140" s="4">
        <v>0</v>
      </c>
      <c r="BR140" s="4"/>
      <c r="BT140" s="1" t="s">
        <v>287</v>
      </c>
    </row>
    <row r="141" spans="1:72" x14ac:dyDescent="0.35">
      <c r="B141" s="1" t="s">
        <v>284</v>
      </c>
      <c r="C141" s="1" t="s">
        <v>93</v>
      </c>
      <c r="H141" s="4" t="s">
        <v>288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T141" s="1" t="s">
        <v>287</v>
      </c>
    </row>
    <row r="142" spans="1:72" ht="15" thickBot="1" x14ac:dyDescent="0.4">
      <c r="B142" s="1" t="s">
        <v>284</v>
      </c>
      <c r="C142" s="1" t="s">
        <v>95</v>
      </c>
      <c r="J142" s="1">
        <f>J141-J140</f>
        <v>0</v>
      </c>
      <c r="K142" s="1">
        <f t="shared" ref="K142:AP142" si="88">K141-K140+J142</f>
        <v>-977</v>
      </c>
      <c r="L142" s="1">
        <f t="shared" si="88"/>
        <v>-9445</v>
      </c>
      <c r="M142" s="1">
        <f t="shared" si="88"/>
        <v>-9445</v>
      </c>
      <c r="N142" s="1">
        <f t="shared" si="88"/>
        <v>-9445</v>
      </c>
      <c r="O142" s="1">
        <f t="shared" si="88"/>
        <v>-9445</v>
      </c>
      <c r="P142" s="1">
        <f t="shared" si="88"/>
        <v>-9445</v>
      </c>
      <c r="Q142" s="1">
        <f t="shared" si="88"/>
        <v>-9445</v>
      </c>
      <c r="R142" s="1">
        <f t="shared" si="88"/>
        <v>-17703</v>
      </c>
      <c r="S142" s="1">
        <f t="shared" si="88"/>
        <v>-17703</v>
      </c>
      <c r="T142" s="1">
        <f t="shared" si="88"/>
        <v>-17703</v>
      </c>
      <c r="U142" s="1">
        <f t="shared" si="88"/>
        <v>-17703</v>
      </c>
      <c r="V142" s="1">
        <f t="shared" si="88"/>
        <v>-17703</v>
      </c>
      <c r="W142" s="1">
        <f t="shared" si="88"/>
        <v>-26803</v>
      </c>
      <c r="X142" s="1">
        <f t="shared" si="88"/>
        <v>-26803</v>
      </c>
      <c r="Y142" s="1">
        <f t="shared" si="88"/>
        <v>-26803</v>
      </c>
      <c r="Z142" s="1">
        <f t="shared" si="88"/>
        <v>-26803</v>
      </c>
      <c r="AA142" s="1">
        <f t="shared" si="88"/>
        <v>-32403</v>
      </c>
      <c r="AB142" s="1">
        <f t="shared" si="88"/>
        <v>-32403</v>
      </c>
      <c r="AC142" s="1">
        <f t="shared" si="88"/>
        <v>-32403</v>
      </c>
      <c r="AD142" s="1">
        <f t="shared" si="88"/>
        <v>-32403</v>
      </c>
      <c r="AE142" s="1">
        <f t="shared" si="88"/>
        <v>-38003</v>
      </c>
      <c r="AF142" s="1">
        <f t="shared" si="88"/>
        <v>-38003</v>
      </c>
      <c r="AG142" s="1">
        <f t="shared" si="88"/>
        <v>-38003</v>
      </c>
      <c r="AH142" s="1">
        <f t="shared" si="88"/>
        <v>-38003</v>
      </c>
      <c r="AI142" s="1">
        <f t="shared" si="88"/>
        <v>-38003</v>
      </c>
      <c r="AJ142" s="1">
        <f t="shared" si="88"/>
        <v>-43603</v>
      </c>
      <c r="AK142" s="1">
        <f t="shared" si="88"/>
        <v>-43603</v>
      </c>
      <c r="AL142" s="1">
        <f t="shared" si="88"/>
        <v>-43603</v>
      </c>
      <c r="AM142" s="1">
        <f t="shared" si="88"/>
        <v>-43603</v>
      </c>
      <c r="AN142" s="1">
        <f t="shared" si="88"/>
        <v>-49203</v>
      </c>
      <c r="AO142" s="1">
        <f t="shared" si="88"/>
        <v>-49203</v>
      </c>
      <c r="AP142" s="1">
        <f t="shared" si="88"/>
        <v>-49203</v>
      </c>
      <c r="AQ142" s="1">
        <f t="shared" ref="AQ142:BJ142" si="89">AQ141-AQ140+AP142</f>
        <v>-49203</v>
      </c>
      <c r="AR142" s="1">
        <f t="shared" si="89"/>
        <v>-54803</v>
      </c>
      <c r="AS142" s="1">
        <f t="shared" si="89"/>
        <v>-54803</v>
      </c>
      <c r="AT142" s="1">
        <f t="shared" si="89"/>
        <v>-54803</v>
      </c>
      <c r="AU142" s="1">
        <f t="shared" si="89"/>
        <v>-54803</v>
      </c>
      <c r="AV142" s="1">
        <f t="shared" si="89"/>
        <v>-54803</v>
      </c>
      <c r="AW142" s="1">
        <f t="shared" si="89"/>
        <v>-54803</v>
      </c>
      <c r="AX142" s="1">
        <f t="shared" si="89"/>
        <v>-54803</v>
      </c>
      <c r="AY142" s="1">
        <f t="shared" si="89"/>
        <v>-54803</v>
      </c>
      <c r="AZ142" s="1">
        <f t="shared" si="89"/>
        <v>-61803</v>
      </c>
      <c r="BA142" s="1">
        <f t="shared" si="89"/>
        <v>-71603</v>
      </c>
      <c r="BB142" s="1">
        <f t="shared" si="89"/>
        <v>-71603</v>
      </c>
      <c r="BC142" s="1">
        <f t="shared" si="89"/>
        <v>-71603</v>
      </c>
      <c r="BD142" s="1">
        <f t="shared" si="89"/>
        <v>-71603</v>
      </c>
      <c r="BE142" s="1">
        <f t="shared" si="89"/>
        <v>-71603</v>
      </c>
      <c r="BF142" s="1">
        <f t="shared" si="89"/>
        <v>-71603</v>
      </c>
      <c r="BG142" s="1">
        <f t="shared" si="89"/>
        <v>-71603</v>
      </c>
      <c r="BH142" s="1">
        <f t="shared" si="89"/>
        <v>-71603</v>
      </c>
      <c r="BI142" s="1">
        <f t="shared" si="89"/>
        <v>-71603</v>
      </c>
      <c r="BJ142" s="1">
        <f t="shared" si="89"/>
        <v>-71603</v>
      </c>
      <c r="BT142" s="1" t="s">
        <v>287</v>
      </c>
    </row>
    <row r="143" spans="1:72" ht="15" thickBot="1" x14ac:dyDescent="0.4">
      <c r="A143" s="1" t="s">
        <v>85</v>
      </c>
      <c r="B143" s="4" t="s">
        <v>289</v>
      </c>
      <c r="C143" s="4" t="s">
        <v>87</v>
      </c>
      <c r="D143" s="4" t="s">
        <v>88</v>
      </c>
      <c r="E143" s="4"/>
      <c r="F143" s="4"/>
      <c r="G143" s="4" t="s">
        <v>89</v>
      </c>
      <c r="H143" s="4" t="s">
        <v>290</v>
      </c>
      <c r="I143" s="4" t="s">
        <v>179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1065</v>
      </c>
      <c r="AG143" s="4">
        <v>1144</v>
      </c>
      <c r="AH143" s="4">
        <v>1144</v>
      </c>
      <c r="AI143" s="4">
        <v>1144</v>
      </c>
      <c r="AJ143" s="4">
        <v>1670</v>
      </c>
      <c r="AK143" s="4">
        <v>1800</v>
      </c>
      <c r="AL143" s="4">
        <v>1800</v>
      </c>
      <c r="AM143" s="4">
        <v>1440</v>
      </c>
      <c r="AN143" s="4">
        <v>1440</v>
      </c>
      <c r="AO143" s="4">
        <v>1440</v>
      </c>
      <c r="AP143" s="4">
        <v>1800</v>
      </c>
      <c r="AQ143" s="4">
        <v>1800</v>
      </c>
      <c r="AR143" s="4">
        <v>1440</v>
      </c>
      <c r="AS143" s="4">
        <v>1716</v>
      </c>
      <c r="AT143" s="4">
        <v>1716</v>
      </c>
      <c r="AU143" s="4">
        <v>1716</v>
      </c>
      <c r="AV143" s="4">
        <v>1716</v>
      </c>
      <c r="AW143" s="4">
        <v>1654</v>
      </c>
      <c r="AX143" s="4">
        <v>1638</v>
      </c>
      <c r="AY143" s="4">
        <v>1638</v>
      </c>
      <c r="AZ143" s="4">
        <v>1310</v>
      </c>
      <c r="BA143" s="4">
        <v>1310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f>SUM(J143:BK143)</f>
        <v>33541</v>
      </c>
      <c r="BM143" s="4">
        <v>0</v>
      </c>
      <c r="BN143" s="4">
        <v>0</v>
      </c>
      <c r="BO143" s="4">
        <v>5000</v>
      </c>
      <c r="BP143" s="4">
        <v>0</v>
      </c>
      <c r="BQ143" s="4">
        <v>0</v>
      </c>
      <c r="BR143" s="4"/>
      <c r="BT143" s="1" t="s">
        <v>291</v>
      </c>
    </row>
    <row r="144" spans="1:72" x14ac:dyDescent="0.35">
      <c r="B144" s="1" t="s">
        <v>289</v>
      </c>
      <c r="C144" s="1" t="s">
        <v>93</v>
      </c>
      <c r="H144" s="4" t="s">
        <v>292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T144" s="1" t="s">
        <v>291</v>
      </c>
    </row>
    <row r="145" spans="1:72" ht="15" thickBot="1" x14ac:dyDescent="0.4">
      <c r="B145" s="1" t="s">
        <v>289</v>
      </c>
      <c r="C145" s="1" t="s">
        <v>95</v>
      </c>
      <c r="J145" s="1">
        <f>J144-J143</f>
        <v>0</v>
      </c>
      <c r="K145" s="1">
        <f t="shared" ref="K145:AP145" si="90">K144-K143+J145</f>
        <v>0</v>
      </c>
      <c r="L145" s="1">
        <f t="shared" si="90"/>
        <v>0</v>
      </c>
      <c r="M145" s="1">
        <f t="shared" si="90"/>
        <v>0</v>
      </c>
      <c r="N145" s="1">
        <f t="shared" si="90"/>
        <v>0</v>
      </c>
      <c r="O145" s="1">
        <f t="shared" si="90"/>
        <v>0</v>
      </c>
      <c r="P145" s="1">
        <f t="shared" si="90"/>
        <v>0</v>
      </c>
      <c r="Q145" s="1">
        <f t="shared" si="90"/>
        <v>0</v>
      </c>
      <c r="R145" s="1">
        <f t="shared" si="90"/>
        <v>0</v>
      </c>
      <c r="S145" s="1">
        <f t="shared" si="90"/>
        <v>0</v>
      </c>
      <c r="T145" s="1">
        <f t="shared" si="90"/>
        <v>0</v>
      </c>
      <c r="U145" s="1">
        <f t="shared" si="90"/>
        <v>0</v>
      </c>
      <c r="V145" s="1">
        <f t="shared" si="90"/>
        <v>0</v>
      </c>
      <c r="W145" s="1">
        <f t="shared" si="90"/>
        <v>0</v>
      </c>
      <c r="X145" s="1">
        <f t="shared" si="90"/>
        <v>0</v>
      </c>
      <c r="Y145" s="1">
        <f t="shared" si="90"/>
        <v>0</v>
      </c>
      <c r="Z145" s="1">
        <f t="shared" si="90"/>
        <v>0</v>
      </c>
      <c r="AA145" s="1">
        <f t="shared" si="90"/>
        <v>0</v>
      </c>
      <c r="AB145" s="1">
        <f t="shared" si="90"/>
        <v>0</v>
      </c>
      <c r="AC145" s="1">
        <f t="shared" si="90"/>
        <v>0</v>
      </c>
      <c r="AD145" s="1">
        <f t="shared" si="90"/>
        <v>0</v>
      </c>
      <c r="AE145" s="1">
        <f t="shared" si="90"/>
        <v>0</v>
      </c>
      <c r="AF145" s="1">
        <f t="shared" si="90"/>
        <v>-1065</v>
      </c>
      <c r="AG145" s="1">
        <f t="shared" si="90"/>
        <v>-2209</v>
      </c>
      <c r="AH145" s="1">
        <f t="shared" si="90"/>
        <v>-3353</v>
      </c>
      <c r="AI145" s="1">
        <f t="shared" si="90"/>
        <v>-4497</v>
      </c>
      <c r="AJ145" s="1">
        <f t="shared" si="90"/>
        <v>-6167</v>
      </c>
      <c r="AK145" s="1">
        <f t="shared" si="90"/>
        <v>-7967</v>
      </c>
      <c r="AL145" s="1">
        <f t="shared" si="90"/>
        <v>-9767</v>
      </c>
      <c r="AM145" s="1">
        <f t="shared" si="90"/>
        <v>-11207</v>
      </c>
      <c r="AN145" s="1">
        <f t="shared" si="90"/>
        <v>-12647</v>
      </c>
      <c r="AO145" s="1">
        <f t="shared" si="90"/>
        <v>-14087</v>
      </c>
      <c r="AP145" s="1">
        <f t="shared" si="90"/>
        <v>-15887</v>
      </c>
      <c r="AQ145" s="1">
        <f t="shared" ref="AQ145:BJ145" si="91">AQ144-AQ143+AP145</f>
        <v>-17687</v>
      </c>
      <c r="AR145" s="1">
        <f t="shared" si="91"/>
        <v>-19127</v>
      </c>
      <c r="AS145" s="1">
        <f t="shared" si="91"/>
        <v>-20843</v>
      </c>
      <c r="AT145" s="1">
        <f t="shared" si="91"/>
        <v>-22559</v>
      </c>
      <c r="AU145" s="1">
        <f t="shared" si="91"/>
        <v>-24275</v>
      </c>
      <c r="AV145" s="1">
        <f t="shared" si="91"/>
        <v>-25991</v>
      </c>
      <c r="AW145" s="1">
        <f t="shared" si="91"/>
        <v>-27645</v>
      </c>
      <c r="AX145" s="1">
        <f t="shared" si="91"/>
        <v>-29283</v>
      </c>
      <c r="AY145" s="1">
        <f t="shared" si="91"/>
        <v>-30921</v>
      </c>
      <c r="AZ145" s="1">
        <f t="shared" si="91"/>
        <v>-32231</v>
      </c>
      <c r="BA145" s="1">
        <f t="shared" si="91"/>
        <v>-33541</v>
      </c>
      <c r="BB145" s="1">
        <f t="shared" si="91"/>
        <v>-33541</v>
      </c>
      <c r="BC145" s="1">
        <f t="shared" si="91"/>
        <v>-33541</v>
      </c>
      <c r="BD145" s="1">
        <f t="shared" si="91"/>
        <v>-33541</v>
      </c>
      <c r="BE145" s="1">
        <f t="shared" si="91"/>
        <v>-33541</v>
      </c>
      <c r="BF145" s="1">
        <f t="shared" si="91"/>
        <v>-33541</v>
      </c>
      <c r="BG145" s="1">
        <f t="shared" si="91"/>
        <v>-33541</v>
      </c>
      <c r="BH145" s="1">
        <f t="shared" si="91"/>
        <v>-33541</v>
      </c>
      <c r="BI145" s="1">
        <f t="shared" si="91"/>
        <v>-33541</v>
      </c>
      <c r="BJ145" s="1">
        <f t="shared" si="91"/>
        <v>-33541</v>
      </c>
      <c r="BT145" s="1" t="s">
        <v>291</v>
      </c>
    </row>
    <row r="146" spans="1:72" ht="15" thickBot="1" x14ac:dyDescent="0.4">
      <c r="A146" s="1" t="s">
        <v>85</v>
      </c>
      <c r="B146" s="4" t="s">
        <v>293</v>
      </c>
      <c r="C146" s="4" t="s">
        <v>87</v>
      </c>
      <c r="D146" s="4" t="s">
        <v>88</v>
      </c>
      <c r="E146" s="4"/>
      <c r="F146" s="4"/>
      <c r="G146" s="4" t="s">
        <v>89</v>
      </c>
      <c r="H146" s="4" t="s">
        <v>294</v>
      </c>
      <c r="I146" s="4" t="s">
        <v>295</v>
      </c>
      <c r="J146" s="4">
        <v>0</v>
      </c>
      <c r="K146" s="4">
        <v>0</v>
      </c>
      <c r="L146" s="4">
        <v>88</v>
      </c>
      <c r="M146" s="4">
        <v>2070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f>SUM(J146:BK146)</f>
        <v>2158</v>
      </c>
      <c r="BM146" s="4">
        <v>5000</v>
      </c>
      <c r="BN146" s="4">
        <v>0</v>
      </c>
      <c r="BO146" s="4">
        <v>5000</v>
      </c>
      <c r="BP146" s="4">
        <v>0</v>
      </c>
      <c r="BQ146" s="4">
        <v>0</v>
      </c>
      <c r="BR146" s="4"/>
      <c r="BT146" s="1" t="s">
        <v>296</v>
      </c>
    </row>
    <row r="147" spans="1:72" x14ac:dyDescent="0.35">
      <c r="B147" s="1" t="s">
        <v>293</v>
      </c>
      <c r="C147" s="1" t="s">
        <v>93</v>
      </c>
      <c r="H147" s="4" t="s">
        <v>297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T147" s="1" t="s">
        <v>296</v>
      </c>
    </row>
    <row r="148" spans="1:72" ht="15" thickBot="1" x14ac:dyDescent="0.4">
      <c r="B148" s="1" t="s">
        <v>293</v>
      </c>
      <c r="C148" s="1" t="s">
        <v>95</v>
      </c>
      <c r="J148" s="1">
        <f>J147-J146</f>
        <v>0</v>
      </c>
      <c r="K148" s="1">
        <f t="shared" ref="K148:AP148" si="92">K147-K146+J148</f>
        <v>0</v>
      </c>
      <c r="L148" s="1">
        <f t="shared" si="92"/>
        <v>-88</v>
      </c>
      <c r="M148" s="1">
        <f t="shared" si="92"/>
        <v>-2158</v>
      </c>
      <c r="N148" s="1">
        <f t="shared" si="92"/>
        <v>-2158</v>
      </c>
      <c r="O148" s="1">
        <f t="shared" si="92"/>
        <v>-2158</v>
      </c>
      <c r="P148" s="1">
        <f t="shared" si="92"/>
        <v>-2158</v>
      </c>
      <c r="Q148" s="1">
        <f t="shared" si="92"/>
        <v>-2158</v>
      </c>
      <c r="R148" s="1">
        <f t="shared" si="92"/>
        <v>-2158</v>
      </c>
      <c r="S148" s="1">
        <f t="shared" si="92"/>
        <v>-2158</v>
      </c>
      <c r="T148" s="1">
        <f t="shared" si="92"/>
        <v>-2158</v>
      </c>
      <c r="U148" s="1">
        <f t="shared" si="92"/>
        <v>-2158</v>
      </c>
      <c r="V148" s="1">
        <f t="shared" si="92"/>
        <v>-2158</v>
      </c>
      <c r="W148" s="1">
        <f t="shared" si="92"/>
        <v>-2158</v>
      </c>
      <c r="X148" s="1">
        <f t="shared" si="92"/>
        <v>-2158</v>
      </c>
      <c r="Y148" s="1">
        <f t="shared" si="92"/>
        <v>-2158</v>
      </c>
      <c r="Z148" s="1">
        <f t="shared" si="92"/>
        <v>-2158</v>
      </c>
      <c r="AA148" s="1">
        <f t="shared" si="92"/>
        <v>-2158</v>
      </c>
      <c r="AB148" s="1">
        <f t="shared" si="92"/>
        <v>-2158</v>
      </c>
      <c r="AC148" s="1">
        <f t="shared" si="92"/>
        <v>-2158</v>
      </c>
      <c r="AD148" s="1">
        <f t="shared" si="92"/>
        <v>-2158</v>
      </c>
      <c r="AE148" s="1">
        <f t="shared" si="92"/>
        <v>-2158</v>
      </c>
      <c r="AF148" s="1">
        <f t="shared" si="92"/>
        <v>-2158</v>
      </c>
      <c r="AG148" s="1">
        <f t="shared" si="92"/>
        <v>-2158</v>
      </c>
      <c r="AH148" s="1">
        <f t="shared" si="92"/>
        <v>-2158</v>
      </c>
      <c r="AI148" s="1">
        <f t="shared" si="92"/>
        <v>-2158</v>
      </c>
      <c r="AJ148" s="1">
        <f t="shared" si="92"/>
        <v>-2158</v>
      </c>
      <c r="AK148" s="1">
        <f t="shared" si="92"/>
        <v>-2158</v>
      </c>
      <c r="AL148" s="1">
        <f t="shared" si="92"/>
        <v>-2158</v>
      </c>
      <c r="AM148" s="1">
        <f t="shared" si="92"/>
        <v>-2158</v>
      </c>
      <c r="AN148" s="1">
        <f t="shared" si="92"/>
        <v>-2158</v>
      </c>
      <c r="AO148" s="1">
        <f t="shared" si="92"/>
        <v>-2158</v>
      </c>
      <c r="AP148" s="1">
        <f t="shared" si="92"/>
        <v>-2158</v>
      </c>
      <c r="AQ148" s="1">
        <f t="shared" ref="AQ148:BJ148" si="93">AQ147-AQ146+AP148</f>
        <v>-2158</v>
      </c>
      <c r="AR148" s="1">
        <f t="shared" si="93"/>
        <v>-2158</v>
      </c>
      <c r="AS148" s="1">
        <f t="shared" si="93"/>
        <v>-2158</v>
      </c>
      <c r="AT148" s="1">
        <f t="shared" si="93"/>
        <v>-2158</v>
      </c>
      <c r="AU148" s="1">
        <f t="shared" si="93"/>
        <v>-2158</v>
      </c>
      <c r="AV148" s="1">
        <f t="shared" si="93"/>
        <v>-2158</v>
      </c>
      <c r="AW148" s="1">
        <f t="shared" si="93"/>
        <v>-2158</v>
      </c>
      <c r="AX148" s="1">
        <f t="shared" si="93"/>
        <v>-2158</v>
      </c>
      <c r="AY148" s="1">
        <f t="shared" si="93"/>
        <v>-2158</v>
      </c>
      <c r="AZ148" s="1">
        <f t="shared" si="93"/>
        <v>-2158</v>
      </c>
      <c r="BA148" s="1">
        <f t="shared" si="93"/>
        <v>-2158</v>
      </c>
      <c r="BB148" s="1">
        <f t="shared" si="93"/>
        <v>-2158</v>
      </c>
      <c r="BC148" s="1">
        <f t="shared" si="93"/>
        <v>-2158</v>
      </c>
      <c r="BD148" s="1">
        <f t="shared" si="93"/>
        <v>-2158</v>
      </c>
      <c r="BE148" s="1">
        <f t="shared" si="93"/>
        <v>-2158</v>
      </c>
      <c r="BF148" s="1">
        <f t="shared" si="93"/>
        <v>-2158</v>
      </c>
      <c r="BG148" s="1">
        <f t="shared" si="93"/>
        <v>-2158</v>
      </c>
      <c r="BH148" s="1">
        <f t="shared" si="93"/>
        <v>-2158</v>
      </c>
      <c r="BI148" s="1">
        <f t="shared" si="93"/>
        <v>-2158</v>
      </c>
      <c r="BJ148" s="1">
        <f t="shared" si="93"/>
        <v>-2158</v>
      </c>
      <c r="BT148" s="1" t="s">
        <v>296</v>
      </c>
    </row>
    <row r="149" spans="1:72" ht="15" thickBot="1" x14ac:dyDescent="0.4">
      <c r="A149" s="1" t="s">
        <v>85</v>
      </c>
      <c r="B149" s="4" t="s">
        <v>298</v>
      </c>
      <c r="C149" s="4" t="s">
        <v>87</v>
      </c>
      <c r="D149" s="4" t="s">
        <v>88</v>
      </c>
      <c r="E149" s="4"/>
      <c r="F149" s="4"/>
      <c r="G149" s="4" t="s">
        <v>89</v>
      </c>
      <c r="H149" s="4" t="s">
        <v>299</v>
      </c>
      <c r="I149" s="4" t="s">
        <v>111</v>
      </c>
      <c r="J149" s="4">
        <v>0</v>
      </c>
      <c r="K149" s="4">
        <v>0</v>
      </c>
      <c r="L149" s="4">
        <v>0</v>
      </c>
      <c r="M149" s="4">
        <v>7173</v>
      </c>
      <c r="N149" s="4">
        <v>9756</v>
      </c>
      <c r="O149" s="4">
        <v>2244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384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58</v>
      </c>
      <c r="AC149" s="4">
        <v>58</v>
      </c>
      <c r="AD149" s="4">
        <v>58</v>
      </c>
      <c r="AE149" s="4">
        <v>58</v>
      </c>
      <c r="AF149" s="4">
        <v>3795</v>
      </c>
      <c r="AG149" s="4">
        <v>231</v>
      </c>
      <c r="AH149" s="4">
        <v>231</v>
      </c>
      <c r="AI149" s="4">
        <v>231</v>
      </c>
      <c r="AJ149" s="4">
        <v>336</v>
      </c>
      <c r="AK149" s="4">
        <v>6360</v>
      </c>
      <c r="AL149" s="4">
        <v>360</v>
      </c>
      <c r="AM149" s="4">
        <v>288</v>
      </c>
      <c r="AN149" s="4">
        <v>288</v>
      </c>
      <c r="AO149" s="4">
        <v>288</v>
      </c>
      <c r="AP149" s="4">
        <v>360</v>
      </c>
      <c r="AQ149" s="4">
        <v>360</v>
      </c>
      <c r="AR149" s="4">
        <v>288</v>
      </c>
      <c r="AS149" s="4">
        <v>346</v>
      </c>
      <c r="AT149" s="4">
        <v>346</v>
      </c>
      <c r="AU149" s="4">
        <v>346</v>
      </c>
      <c r="AV149" s="4">
        <v>346</v>
      </c>
      <c r="AW149" s="4">
        <v>336</v>
      </c>
      <c r="AX149" s="4">
        <v>5132</v>
      </c>
      <c r="AY149" s="4">
        <v>332</v>
      </c>
      <c r="AZ149" s="4">
        <v>264</v>
      </c>
      <c r="BA149" s="4">
        <v>264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f>SUM(J149:BK149)</f>
        <v>40917</v>
      </c>
      <c r="BM149" s="4">
        <v>20000</v>
      </c>
      <c r="BN149" s="4">
        <v>0</v>
      </c>
      <c r="BO149" s="4">
        <v>5000</v>
      </c>
      <c r="BP149" s="4">
        <v>0</v>
      </c>
      <c r="BQ149" s="4">
        <v>0</v>
      </c>
      <c r="BR149" s="4"/>
      <c r="BT149" s="1" t="s">
        <v>300</v>
      </c>
    </row>
    <row r="150" spans="1:72" x14ac:dyDescent="0.35">
      <c r="B150" s="1" t="s">
        <v>298</v>
      </c>
      <c r="C150" s="1" t="s">
        <v>93</v>
      </c>
      <c r="H150" s="4" t="s">
        <v>301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T150" s="1" t="s">
        <v>300</v>
      </c>
    </row>
    <row r="151" spans="1:72" ht="15" thickBot="1" x14ac:dyDescent="0.4">
      <c r="B151" s="1" t="s">
        <v>298</v>
      </c>
      <c r="C151" s="1" t="s">
        <v>95</v>
      </c>
      <c r="J151" s="1">
        <f>J150-J149</f>
        <v>0</v>
      </c>
      <c r="K151" s="1">
        <f t="shared" ref="K151:AP151" si="94">K150-K149+J151</f>
        <v>0</v>
      </c>
      <c r="L151" s="1">
        <f t="shared" si="94"/>
        <v>0</v>
      </c>
      <c r="M151" s="1">
        <f t="shared" si="94"/>
        <v>-7173</v>
      </c>
      <c r="N151" s="1">
        <f t="shared" si="94"/>
        <v>-16929</v>
      </c>
      <c r="O151" s="1">
        <f t="shared" si="94"/>
        <v>-19173</v>
      </c>
      <c r="P151" s="1">
        <f t="shared" si="94"/>
        <v>-19173</v>
      </c>
      <c r="Q151" s="1">
        <f t="shared" si="94"/>
        <v>-19173</v>
      </c>
      <c r="R151" s="1">
        <f t="shared" si="94"/>
        <v>-19173</v>
      </c>
      <c r="S151" s="1">
        <f t="shared" si="94"/>
        <v>-19173</v>
      </c>
      <c r="T151" s="1">
        <f t="shared" si="94"/>
        <v>-19173</v>
      </c>
      <c r="U151" s="1">
        <f t="shared" si="94"/>
        <v>-19173</v>
      </c>
      <c r="V151" s="1">
        <f t="shared" si="94"/>
        <v>-19557</v>
      </c>
      <c r="W151" s="1">
        <f t="shared" si="94"/>
        <v>-19557</v>
      </c>
      <c r="X151" s="1">
        <f t="shared" si="94"/>
        <v>-19557</v>
      </c>
      <c r="Y151" s="1">
        <f t="shared" si="94"/>
        <v>-19557</v>
      </c>
      <c r="Z151" s="1">
        <f t="shared" si="94"/>
        <v>-19557</v>
      </c>
      <c r="AA151" s="1">
        <f t="shared" si="94"/>
        <v>-19557</v>
      </c>
      <c r="AB151" s="1">
        <f t="shared" si="94"/>
        <v>-19615</v>
      </c>
      <c r="AC151" s="1">
        <f t="shared" si="94"/>
        <v>-19673</v>
      </c>
      <c r="AD151" s="1">
        <f t="shared" si="94"/>
        <v>-19731</v>
      </c>
      <c r="AE151" s="1">
        <f t="shared" si="94"/>
        <v>-19789</v>
      </c>
      <c r="AF151" s="1">
        <f t="shared" si="94"/>
        <v>-23584</v>
      </c>
      <c r="AG151" s="1">
        <f t="shared" si="94"/>
        <v>-23815</v>
      </c>
      <c r="AH151" s="1">
        <f t="shared" si="94"/>
        <v>-24046</v>
      </c>
      <c r="AI151" s="1">
        <f t="shared" si="94"/>
        <v>-24277</v>
      </c>
      <c r="AJ151" s="1">
        <f t="shared" si="94"/>
        <v>-24613</v>
      </c>
      <c r="AK151" s="1">
        <f t="shared" si="94"/>
        <v>-30973</v>
      </c>
      <c r="AL151" s="1">
        <f t="shared" si="94"/>
        <v>-31333</v>
      </c>
      <c r="AM151" s="1">
        <f t="shared" si="94"/>
        <v>-31621</v>
      </c>
      <c r="AN151" s="1">
        <f t="shared" si="94"/>
        <v>-31909</v>
      </c>
      <c r="AO151" s="1">
        <f t="shared" si="94"/>
        <v>-32197</v>
      </c>
      <c r="AP151" s="1">
        <f t="shared" si="94"/>
        <v>-32557</v>
      </c>
      <c r="AQ151" s="1">
        <f t="shared" ref="AQ151:BJ151" si="95">AQ150-AQ149+AP151</f>
        <v>-32917</v>
      </c>
      <c r="AR151" s="1">
        <f t="shared" si="95"/>
        <v>-33205</v>
      </c>
      <c r="AS151" s="1">
        <f t="shared" si="95"/>
        <v>-33551</v>
      </c>
      <c r="AT151" s="1">
        <f t="shared" si="95"/>
        <v>-33897</v>
      </c>
      <c r="AU151" s="1">
        <f t="shared" si="95"/>
        <v>-34243</v>
      </c>
      <c r="AV151" s="1">
        <f t="shared" si="95"/>
        <v>-34589</v>
      </c>
      <c r="AW151" s="1">
        <f t="shared" si="95"/>
        <v>-34925</v>
      </c>
      <c r="AX151" s="1">
        <f t="shared" si="95"/>
        <v>-40057</v>
      </c>
      <c r="AY151" s="1">
        <f t="shared" si="95"/>
        <v>-40389</v>
      </c>
      <c r="AZ151" s="1">
        <f t="shared" si="95"/>
        <v>-40653</v>
      </c>
      <c r="BA151" s="1">
        <f t="shared" si="95"/>
        <v>-40917</v>
      </c>
      <c r="BB151" s="1">
        <f t="shared" si="95"/>
        <v>-40917</v>
      </c>
      <c r="BC151" s="1">
        <f t="shared" si="95"/>
        <v>-40917</v>
      </c>
      <c r="BD151" s="1">
        <f t="shared" si="95"/>
        <v>-40917</v>
      </c>
      <c r="BE151" s="1">
        <f t="shared" si="95"/>
        <v>-40917</v>
      </c>
      <c r="BF151" s="1">
        <f t="shared" si="95"/>
        <v>-40917</v>
      </c>
      <c r="BG151" s="1">
        <f t="shared" si="95"/>
        <v>-40917</v>
      </c>
      <c r="BH151" s="1">
        <f t="shared" si="95"/>
        <v>-40917</v>
      </c>
      <c r="BI151" s="1">
        <f t="shared" si="95"/>
        <v>-40917</v>
      </c>
      <c r="BJ151" s="1">
        <f t="shared" si="95"/>
        <v>-40917</v>
      </c>
      <c r="BT151" s="1" t="s">
        <v>300</v>
      </c>
    </row>
    <row r="152" spans="1:72" ht="15" thickBot="1" x14ac:dyDescent="0.4">
      <c r="A152" s="1" t="s">
        <v>85</v>
      </c>
      <c r="B152" s="4" t="s">
        <v>302</v>
      </c>
      <c r="C152" s="4" t="s">
        <v>87</v>
      </c>
      <c r="D152" s="4" t="s">
        <v>88</v>
      </c>
      <c r="E152" s="4"/>
      <c r="F152" s="4"/>
      <c r="G152" s="4" t="s">
        <v>89</v>
      </c>
      <c r="H152" s="4" t="s">
        <v>303</v>
      </c>
      <c r="I152" s="4" t="s">
        <v>214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2049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3267</v>
      </c>
      <c r="AG152" s="4">
        <v>0</v>
      </c>
      <c r="AH152" s="4">
        <v>0</v>
      </c>
      <c r="AI152" s="4">
        <v>0</v>
      </c>
      <c r="AJ152" s="4">
        <v>5500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4400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f>SUM(J152:BK152)</f>
        <v>15216</v>
      </c>
      <c r="BM152" s="4">
        <v>3000</v>
      </c>
      <c r="BN152" s="4">
        <v>0</v>
      </c>
      <c r="BO152" s="4">
        <v>3000</v>
      </c>
      <c r="BP152" s="4">
        <v>0</v>
      </c>
      <c r="BQ152" s="4">
        <v>0</v>
      </c>
      <c r="BR152" s="4"/>
      <c r="BT152" s="1" t="s">
        <v>304</v>
      </c>
    </row>
    <row r="153" spans="1:72" x14ac:dyDescent="0.35">
      <c r="B153" s="1" t="s">
        <v>302</v>
      </c>
      <c r="C153" s="1" t="s">
        <v>93</v>
      </c>
      <c r="H153" s="4" t="s">
        <v>305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T153" s="1" t="s">
        <v>304</v>
      </c>
    </row>
    <row r="154" spans="1:72" ht="15" thickBot="1" x14ac:dyDescent="0.4">
      <c r="B154" s="1" t="s">
        <v>302</v>
      </c>
      <c r="C154" s="1" t="s">
        <v>95</v>
      </c>
      <c r="J154" s="1">
        <f>J153-J152</f>
        <v>0</v>
      </c>
      <c r="K154" s="1">
        <f t="shared" ref="K154:AP154" si="96">K153-K152+J154</f>
        <v>0</v>
      </c>
      <c r="L154" s="1">
        <f t="shared" si="96"/>
        <v>0</v>
      </c>
      <c r="M154" s="1">
        <f t="shared" si="96"/>
        <v>0</v>
      </c>
      <c r="N154" s="1">
        <f t="shared" si="96"/>
        <v>0</v>
      </c>
      <c r="O154" s="1">
        <f t="shared" si="96"/>
        <v>-2049</v>
      </c>
      <c r="P154" s="1">
        <f t="shared" si="96"/>
        <v>-2049</v>
      </c>
      <c r="Q154" s="1">
        <f t="shared" si="96"/>
        <v>-2049</v>
      </c>
      <c r="R154" s="1">
        <f t="shared" si="96"/>
        <v>-2049</v>
      </c>
      <c r="S154" s="1">
        <f t="shared" si="96"/>
        <v>-2049</v>
      </c>
      <c r="T154" s="1">
        <f t="shared" si="96"/>
        <v>-2049</v>
      </c>
      <c r="U154" s="1">
        <f t="shared" si="96"/>
        <v>-2049</v>
      </c>
      <c r="V154" s="1">
        <f t="shared" si="96"/>
        <v>-2049</v>
      </c>
      <c r="W154" s="1">
        <f t="shared" si="96"/>
        <v>-2049</v>
      </c>
      <c r="X154" s="1">
        <f t="shared" si="96"/>
        <v>-2049</v>
      </c>
      <c r="Y154" s="1">
        <f t="shared" si="96"/>
        <v>-2049</v>
      </c>
      <c r="Z154" s="1">
        <f t="shared" si="96"/>
        <v>-2049</v>
      </c>
      <c r="AA154" s="1">
        <f t="shared" si="96"/>
        <v>-2049</v>
      </c>
      <c r="AB154" s="1">
        <f t="shared" si="96"/>
        <v>-2049</v>
      </c>
      <c r="AC154" s="1">
        <f t="shared" si="96"/>
        <v>-2049</v>
      </c>
      <c r="AD154" s="1">
        <f t="shared" si="96"/>
        <v>-2049</v>
      </c>
      <c r="AE154" s="1">
        <f t="shared" si="96"/>
        <v>-2049</v>
      </c>
      <c r="AF154" s="1">
        <f t="shared" si="96"/>
        <v>-5316</v>
      </c>
      <c r="AG154" s="1">
        <f t="shared" si="96"/>
        <v>-5316</v>
      </c>
      <c r="AH154" s="1">
        <f t="shared" si="96"/>
        <v>-5316</v>
      </c>
      <c r="AI154" s="1">
        <f t="shared" si="96"/>
        <v>-5316</v>
      </c>
      <c r="AJ154" s="1">
        <f t="shared" si="96"/>
        <v>-10816</v>
      </c>
      <c r="AK154" s="1">
        <f t="shared" si="96"/>
        <v>-10816</v>
      </c>
      <c r="AL154" s="1">
        <f t="shared" si="96"/>
        <v>-10816</v>
      </c>
      <c r="AM154" s="1">
        <f t="shared" si="96"/>
        <v>-10816</v>
      </c>
      <c r="AN154" s="1">
        <f t="shared" si="96"/>
        <v>-10816</v>
      </c>
      <c r="AO154" s="1">
        <f t="shared" si="96"/>
        <v>-10816</v>
      </c>
      <c r="AP154" s="1">
        <f t="shared" si="96"/>
        <v>-10816</v>
      </c>
      <c r="AQ154" s="1">
        <f t="shared" ref="AQ154:BJ154" si="97">AQ153-AQ152+AP154</f>
        <v>-10816</v>
      </c>
      <c r="AR154" s="1">
        <f t="shared" si="97"/>
        <v>-10816</v>
      </c>
      <c r="AS154" s="1">
        <f t="shared" si="97"/>
        <v>-10816</v>
      </c>
      <c r="AT154" s="1">
        <f t="shared" si="97"/>
        <v>-10816</v>
      </c>
      <c r="AU154" s="1">
        <f t="shared" si="97"/>
        <v>-10816</v>
      </c>
      <c r="AV154" s="1">
        <f t="shared" si="97"/>
        <v>-10816</v>
      </c>
      <c r="AW154" s="1">
        <f t="shared" si="97"/>
        <v>-15216</v>
      </c>
      <c r="AX154" s="1">
        <f t="shared" si="97"/>
        <v>-15216</v>
      </c>
      <c r="AY154" s="1">
        <f t="shared" si="97"/>
        <v>-15216</v>
      </c>
      <c r="AZ154" s="1">
        <f t="shared" si="97"/>
        <v>-15216</v>
      </c>
      <c r="BA154" s="1">
        <f t="shared" si="97"/>
        <v>-15216</v>
      </c>
      <c r="BB154" s="1">
        <f t="shared" si="97"/>
        <v>-15216</v>
      </c>
      <c r="BC154" s="1">
        <f t="shared" si="97"/>
        <v>-15216</v>
      </c>
      <c r="BD154" s="1">
        <f t="shared" si="97"/>
        <v>-15216</v>
      </c>
      <c r="BE154" s="1">
        <f t="shared" si="97"/>
        <v>-15216</v>
      </c>
      <c r="BF154" s="1">
        <f t="shared" si="97"/>
        <v>-15216</v>
      </c>
      <c r="BG154" s="1">
        <f t="shared" si="97"/>
        <v>-15216</v>
      </c>
      <c r="BH154" s="1">
        <f t="shared" si="97"/>
        <v>-15216</v>
      </c>
      <c r="BI154" s="1">
        <f t="shared" si="97"/>
        <v>-15216</v>
      </c>
      <c r="BJ154" s="1">
        <f t="shared" si="97"/>
        <v>-15216</v>
      </c>
      <c r="BT154" s="1" t="s">
        <v>304</v>
      </c>
    </row>
    <row r="155" spans="1:72" ht="15" thickBot="1" x14ac:dyDescent="0.4">
      <c r="A155" s="1" t="s">
        <v>85</v>
      </c>
      <c r="B155" s="4" t="s">
        <v>306</v>
      </c>
      <c r="C155" s="4" t="s">
        <v>87</v>
      </c>
      <c r="D155" s="4" t="s">
        <v>88</v>
      </c>
      <c r="E155" s="4"/>
      <c r="F155" s="4"/>
      <c r="G155" s="4" t="s">
        <v>89</v>
      </c>
      <c r="H155" s="4" t="s">
        <v>307</v>
      </c>
      <c r="I155" s="4" t="s">
        <v>154</v>
      </c>
      <c r="J155" s="4">
        <v>0</v>
      </c>
      <c r="K155" s="4">
        <v>315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f>SUM(J155:BK155)</f>
        <v>315</v>
      </c>
      <c r="BM155" s="4">
        <v>0</v>
      </c>
      <c r="BN155" s="4">
        <v>0</v>
      </c>
      <c r="BO155" s="4">
        <v>5000</v>
      </c>
      <c r="BP155" s="4">
        <v>0</v>
      </c>
      <c r="BQ155" s="4">
        <v>0</v>
      </c>
      <c r="BR155" s="4"/>
      <c r="BT155" s="1" t="s">
        <v>308</v>
      </c>
    </row>
    <row r="156" spans="1:72" x14ac:dyDescent="0.35">
      <c r="B156" s="1" t="s">
        <v>306</v>
      </c>
      <c r="C156" s="1" t="s">
        <v>93</v>
      </c>
      <c r="H156" s="4" t="s">
        <v>309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T156" s="1" t="s">
        <v>308</v>
      </c>
    </row>
    <row r="157" spans="1:72" x14ac:dyDescent="0.35">
      <c r="B157" s="1" t="s">
        <v>306</v>
      </c>
      <c r="C157" s="1" t="s">
        <v>95</v>
      </c>
      <c r="J157" s="1">
        <f>J156-J155</f>
        <v>0</v>
      </c>
      <c r="K157" s="1">
        <f t="shared" ref="K157:AP157" si="98">K156-K155+J157</f>
        <v>-315</v>
      </c>
      <c r="L157" s="1">
        <f t="shared" si="98"/>
        <v>-315</v>
      </c>
      <c r="M157" s="1">
        <f t="shared" si="98"/>
        <v>-315</v>
      </c>
      <c r="N157" s="1">
        <f t="shared" si="98"/>
        <v>-315</v>
      </c>
      <c r="O157" s="1">
        <f t="shared" si="98"/>
        <v>-315</v>
      </c>
      <c r="P157" s="1">
        <f t="shared" si="98"/>
        <v>-315</v>
      </c>
      <c r="Q157" s="1">
        <f t="shared" si="98"/>
        <v>-315</v>
      </c>
      <c r="R157" s="1">
        <f t="shared" si="98"/>
        <v>-315</v>
      </c>
      <c r="S157" s="1">
        <f t="shared" si="98"/>
        <v>-315</v>
      </c>
      <c r="T157" s="1">
        <f t="shared" si="98"/>
        <v>-315</v>
      </c>
      <c r="U157" s="1">
        <f t="shared" si="98"/>
        <v>-315</v>
      </c>
      <c r="V157" s="1">
        <f t="shared" si="98"/>
        <v>-315</v>
      </c>
      <c r="W157" s="1">
        <f t="shared" si="98"/>
        <v>-315</v>
      </c>
      <c r="X157" s="1">
        <f t="shared" si="98"/>
        <v>-315</v>
      </c>
      <c r="Y157" s="1">
        <f t="shared" si="98"/>
        <v>-315</v>
      </c>
      <c r="Z157" s="1">
        <f t="shared" si="98"/>
        <v>-315</v>
      </c>
      <c r="AA157" s="1">
        <f t="shared" si="98"/>
        <v>-315</v>
      </c>
      <c r="AB157" s="1">
        <f t="shared" si="98"/>
        <v>-315</v>
      </c>
      <c r="AC157" s="1">
        <f t="shared" si="98"/>
        <v>-315</v>
      </c>
      <c r="AD157" s="1">
        <f t="shared" si="98"/>
        <v>-315</v>
      </c>
      <c r="AE157" s="1">
        <f t="shared" si="98"/>
        <v>-315</v>
      </c>
      <c r="AF157" s="1">
        <f t="shared" si="98"/>
        <v>-315</v>
      </c>
      <c r="AG157" s="1">
        <f t="shared" si="98"/>
        <v>-315</v>
      </c>
      <c r="AH157" s="1">
        <f t="shared" si="98"/>
        <v>-315</v>
      </c>
      <c r="AI157" s="1">
        <f t="shared" si="98"/>
        <v>-315</v>
      </c>
      <c r="AJ157" s="1">
        <f t="shared" si="98"/>
        <v>-315</v>
      </c>
      <c r="AK157" s="1">
        <f t="shared" si="98"/>
        <v>-315</v>
      </c>
      <c r="AL157" s="1">
        <f t="shared" si="98"/>
        <v>-315</v>
      </c>
      <c r="AM157" s="1">
        <f t="shared" si="98"/>
        <v>-315</v>
      </c>
      <c r="AN157" s="1">
        <f t="shared" si="98"/>
        <v>-315</v>
      </c>
      <c r="AO157" s="1">
        <f t="shared" si="98"/>
        <v>-315</v>
      </c>
      <c r="AP157" s="1">
        <f t="shared" si="98"/>
        <v>-315</v>
      </c>
      <c r="AQ157" s="1">
        <f t="shared" ref="AQ157:BJ157" si="99">AQ156-AQ155+AP157</f>
        <v>-315</v>
      </c>
      <c r="AR157" s="1">
        <f t="shared" si="99"/>
        <v>-315</v>
      </c>
      <c r="AS157" s="1">
        <f t="shared" si="99"/>
        <v>-315</v>
      </c>
      <c r="AT157" s="1">
        <f t="shared" si="99"/>
        <v>-315</v>
      </c>
      <c r="AU157" s="1">
        <f t="shared" si="99"/>
        <v>-315</v>
      </c>
      <c r="AV157" s="1">
        <f t="shared" si="99"/>
        <v>-315</v>
      </c>
      <c r="AW157" s="1">
        <f t="shared" si="99"/>
        <v>-315</v>
      </c>
      <c r="AX157" s="1">
        <f t="shared" si="99"/>
        <v>-315</v>
      </c>
      <c r="AY157" s="1">
        <f t="shared" si="99"/>
        <v>-315</v>
      </c>
      <c r="AZ157" s="1">
        <f t="shared" si="99"/>
        <v>-315</v>
      </c>
      <c r="BA157" s="1">
        <f t="shared" si="99"/>
        <v>-315</v>
      </c>
      <c r="BB157" s="1">
        <f t="shared" si="99"/>
        <v>-315</v>
      </c>
      <c r="BC157" s="1">
        <f t="shared" si="99"/>
        <v>-315</v>
      </c>
      <c r="BD157" s="1">
        <f t="shared" si="99"/>
        <v>-315</v>
      </c>
      <c r="BE157" s="1">
        <f t="shared" si="99"/>
        <v>-315</v>
      </c>
      <c r="BF157" s="1">
        <f t="shared" si="99"/>
        <v>-315</v>
      </c>
      <c r="BG157" s="1">
        <f t="shared" si="99"/>
        <v>-315</v>
      </c>
      <c r="BH157" s="1">
        <f t="shared" si="99"/>
        <v>-315</v>
      </c>
      <c r="BI157" s="1">
        <f t="shared" si="99"/>
        <v>-315</v>
      </c>
      <c r="BJ157" s="1">
        <f t="shared" si="99"/>
        <v>-315</v>
      </c>
      <c r="BT157" s="1" t="s">
        <v>308</v>
      </c>
    </row>
  </sheetData>
  <phoneticPr fontId="3" type="noConversion"/>
  <conditionalFormatting sqref="J8:BS158">
    <cfRule type="cellIs" dxfId="2" priority="1" operator="lessThan">
      <formula>0</formula>
    </cfRule>
  </conditionalFormatting>
  <pageMargins left="0.75" right="0.75" top="1" bottom="1" header="0.5" footer="0.5"/>
  <pageSetup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109375" defaultRowHeight="14.4" x14ac:dyDescent="0.35"/>
  <cols>
    <col min="1" max="1" width="5.33203125" style="1" customWidth="1"/>
    <col min="2" max="2" width="17.44140625" style="1" customWidth="1"/>
    <col min="3" max="3" width="26.88671875" style="1" customWidth="1"/>
    <col min="4" max="4" width="13.88671875" style="1" customWidth="1"/>
    <col min="5" max="5" width="15.33203125" style="1" customWidth="1"/>
    <col min="6" max="6" width="16.33203125" style="1" customWidth="1"/>
    <col min="7" max="7" width="13.88671875" style="1" customWidth="1"/>
    <col min="8" max="8" width="21.33203125" style="1" customWidth="1"/>
    <col min="9" max="9" width="38" style="1" customWidth="1"/>
    <col min="10" max="10" width="9" style="1" customWidth="1"/>
    <col min="11" max="11" width="9.109375" style="1" customWidth="1"/>
    <col min="12" max="16384" width="9.109375" style="1"/>
  </cols>
  <sheetData>
    <row r="1" spans="2:6" x14ac:dyDescent="0.35">
      <c r="B1" s="2" t="s">
        <v>0</v>
      </c>
      <c r="D1" s="2" t="s">
        <v>1</v>
      </c>
      <c r="F1" s="2" t="s">
        <v>2</v>
      </c>
    </row>
    <row r="2" spans="2:6" x14ac:dyDescent="0.35">
      <c r="B2" s="2" t="s">
        <v>3</v>
      </c>
      <c r="D2" s="2" t="s">
        <v>4</v>
      </c>
      <c r="F2" s="2" t="s">
        <v>5</v>
      </c>
    </row>
    <row r="3" spans="2:6" x14ac:dyDescent="0.35">
      <c r="B3" s="2" t="s">
        <v>6</v>
      </c>
      <c r="F3" s="2" t="s">
        <v>7</v>
      </c>
    </row>
  </sheetData>
  <phoneticPr fontId="3" type="noConversion"/>
  <pageMargins left="0.75" right="0.75" top="1" bottom="1" header="0.5" footer="0.5"/>
  <pageSetup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7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C18" sqref="C18"/>
    </sheetView>
  </sheetViews>
  <sheetFormatPr defaultColWidth="9.109375" defaultRowHeight="14.4" x14ac:dyDescent="0.35"/>
  <cols>
    <col min="1" max="1" width="5.33203125" style="1" customWidth="1"/>
    <col min="2" max="2" width="17.44140625" style="1" customWidth="1"/>
    <col min="3" max="3" width="26.88671875" style="1" customWidth="1"/>
    <col min="4" max="4" width="13.88671875" style="1" customWidth="1"/>
    <col min="5" max="5" width="15.33203125" style="1" customWidth="1"/>
    <col min="6" max="6" width="16.33203125" style="1" customWidth="1"/>
    <col min="7" max="7" width="13.88671875" style="1" customWidth="1"/>
    <col min="8" max="8" width="21.33203125" style="1" customWidth="1"/>
    <col min="9" max="9" width="38" style="1" customWidth="1"/>
    <col min="10" max="10" width="9" style="1" customWidth="1"/>
    <col min="11" max="69" width="14" style="1" customWidth="1"/>
    <col min="70" max="70" width="20.33203125" style="1" customWidth="1"/>
    <col min="71" max="71" width="17.88671875" style="1" customWidth="1"/>
    <col min="72" max="72" width="14" style="1" customWidth="1"/>
    <col min="73" max="73" width="10.33203125" style="1" customWidth="1"/>
    <col min="74" max="74" width="19" style="1" customWidth="1"/>
    <col min="75" max="75" width="35.33203125" style="1" customWidth="1"/>
    <col min="76" max="76" width="20.33203125" style="1" customWidth="1"/>
    <col min="77" max="77" width="13.88671875" style="1" customWidth="1"/>
    <col min="78" max="78" width="9.109375" style="1" customWidth="1"/>
    <col min="79" max="79" width="9.109375" style="1" hidden="1" customWidth="1"/>
    <col min="80" max="80" width="9.109375" style="1" customWidth="1"/>
    <col min="81" max="16384" width="9.109375" style="1"/>
  </cols>
  <sheetData>
    <row r="1" spans="1:77" x14ac:dyDescent="0.35">
      <c r="B1" s="2" t="s">
        <v>0</v>
      </c>
      <c r="C1" s="1" t="s">
        <v>8</v>
      </c>
      <c r="D1" s="2" t="s">
        <v>1</v>
      </c>
      <c r="E1" s="1" t="s">
        <v>9</v>
      </c>
      <c r="F1" s="2" t="s">
        <v>2</v>
      </c>
      <c r="G1" s="1" t="s">
        <v>310</v>
      </c>
    </row>
    <row r="2" spans="1:77" x14ac:dyDescent="0.35">
      <c r="B2" s="2" t="s">
        <v>3</v>
      </c>
      <c r="C2" s="1" t="s">
        <v>11</v>
      </c>
      <c r="D2" s="2" t="s">
        <v>4</v>
      </c>
      <c r="E2" s="1" t="s">
        <v>12</v>
      </c>
      <c r="F2" s="2" t="s">
        <v>5</v>
      </c>
      <c r="G2" s="1" t="s">
        <v>311</v>
      </c>
    </row>
    <row r="3" spans="1:77" x14ac:dyDescent="0.35">
      <c r="B3" s="2" t="s">
        <v>6</v>
      </c>
      <c r="C3" s="1" t="s">
        <v>14</v>
      </c>
      <c r="F3" s="2" t="s">
        <v>7</v>
      </c>
      <c r="G3" s="1" t="s">
        <v>15</v>
      </c>
    </row>
    <row r="7" spans="1:77" x14ac:dyDescent="0.3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25</v>
      </c>
      <c r="K7" s="3" t="s">
        <v>12</v>
      </c>
      <c r="L7" s="3" t="s">
        <v>312</v>
      </c>
      <c r="M7" s="3" t="s">
        <v>313</v>
      </c>
      <c r="N7" s="3" t="s">
        <v>314</v>
      </c>
      <c r="O7" s="3" t="s">
        <v>315</v>
      </c>
      <c r="P7" s="5" t="s">
        <v>316</v>
      </c>
      <c r="Q7" s="5" t="s">
        <v>317</v>
      </c>
      <c r="R7" s="3" t="s">
        <v>26</v>
      </c>
      <c r="S7" s="3" t="s">
        <v>318</v>
      </c>
      <c r="T7" s="3" t="s">
        <v>319</v>
      </c>
      <c r="U7" s="3" t="s">
        <v>320</v>
      </c>
      <c r="V7" s="3" t="s">
        <v>321</v>
      </c>
      <c r="W7" s="5" t="s">
        <v>322</v>
      </c>
      <c r="X7" s="5" t="s">
        <v>323</v>
      </c>
      <c r="Y7" s="3" t="s">
        <v>27</v>
      </c>
      <c r="Z7" s="3" t="s">
        <v>324</v>
      </c>
      <c r="AA7" s="3" t="s">
        <v>325</v>
      </c>
      <c r="AB7" s="3" t="s">
        <v>326</v>
      </c>
      <c r="AC7" s="3" t="s">
        <v>327</v>
      </c>
      <c r="AD7" s="5" t="s">
        <v>328</v>
      </c>
      <c r="AE7" s="5" t="s">
        <v>329</v>
      </c>
      <c r="AF7" s="3" t="s">
        <v>28</v>
      </c>
      <c r="AG7" s="3" t="s">
        <v>330</v>
      </c>
      <c r="AH7" s="3" t="s">
        <v>331</v>
      </c>
      <c r="AI7" s="3" t="s">
        <v>332</v>
      </c>
      <c r="AJ7" s="3" t="s">
        <v>333</v>
      </c>
      <c r="AK7" s="5" t="s">
        <v>334</v>
      </c>
      <c r="AL7" s="5" t="s">
        <v>335</v>
      </c>
      <c r="AM7" s="3" t="s">
        <v>29</v>
      </c>
      <c r="AN7" s="3" t="s">
        <v>336</v>
      </c>
      <c r="AO7" s="3" t="s">
        <v>337</v>
      </c>
      <c r="AP7" s="3" t="s">
        <v>30</v>
      </c>
      <c r="AQ7" s="3" t="s">
        <v>31</v>
      </c>
      <c r="AR7" s="3" t="s">
        <v>32</v>
      </c>
      <c r="AS7" s="3" t="s">
        <v>33</v>
      </c>
      <c r="AT7" s="3" t="s">
        <v>34</v>
      </c>
      <c r="AU7" s="3" t="s">
        <v>35</v>
      </c>
      <c r="AV7" s="3" t="s">
        <v>36</v>
      </c>
      <c r="AW7" s="3" t="s">
        <v>37</v>
      </c>
      <c r="AX7" s="3" t="s">
        <v>38</v>
      </c>
      <c r="AY7" s="3" t="s">
        <v>39</v>
      </c>
      <c r="AZ7" s="3" t="s">
        <v>40</v>
      </c>
      <c r="BA7" s="3" t="s">
        <v>41</v>
      </c>
      <c r="BB7" s="3" t="s">
        <v>42</v>
      </c>
      <c r="BC7" s="3" t="s">
        <v>43</v>
      </c>
      <c r="BD7" s="3" t="s">
        <v>44</v>
      </c>
      <c r="BE7" s="3" t="s">
        <v>45</v>
      </c>
      <c r="BF7" s="3" t="s">
        <v>46</v>
      </c>
      <c r="BG7" s="3" t="s">
        <v>47</v>
      </c>
      <c r="BH7" s="3" t="s">
        <v>48</v>
      </c>
      <c r="BI7" s="3" t="s">
        <v>49</v>
      </c>
      <c r="BJ7" s="3" t="s">
        <v>50</v>
      </c>
      <c r="BK7" s="3" t="s">
        <v>51</v>
      </c>
      <c r="BL7" s="3" t="s">
        <v>338</v>
      </c>
      <c r="BM7" s="3" t="s">
        <v>339</v>
      </c>
      <c r="BN7" s="5" t="s">
        <v>340</v>
      </c>
      <c r="BO7" s="3" t="s">
        <v>341</v>
      </c>
      <c r="BP7" s="3" t="s">
        <v>342</v>
      </c>
      <c r="BQ7" s="3" t="s">
        <v>73</v>
      </c>
      <c r="BR7" s="3" t="s">
        <v>77</v>
      </c>
      <c r="BS7" s="3" t="s">
        <v>78</v>
      </c>
      <c r="BT7" s="3" t="s">
        <v>79</v>
      </c>
      <c r="BU7" s="3" t="s">
        <v>80</v>
      </c>
      <c r="BV7" s="3" t="s">
        <v>81</v>
      </c>
      <c r="BW7" s="3" t="s">
        <v>82</v>
      </c>
      <c r="BX7" s="3" t="s">
        <v>83</v>
      </c>
      <c r="BY7" s="3" t="s">
        <v>84</v>
      </c>
    </row>
  </sheetData>
  <phoneticPr fontId="3" type="noConversion"/>
  <conditionalFormatting sqref="J8:BZ8">
    <cfRule type="cellIs" dxfId="1" priority="1" operator="lessThan">
      <formula>0</formula>
    </cfRule>
  </conditionalFormatting>
  <pageMargins left="0.75" right="0.75" top="1" bottom="1" header="0.5" footer="0.5"/>
  <pageSetup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3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9.109375" defaultRowHeight="14.4" x14ac:dyDescent="0.35"/>
  <cols>
    <col min="1" max="1" width="18" style="1" customWidth="1"/>
    <col min="2" max="2" width="25" style="1" customWidth="1"/>
    <col min="3" max="3" width="16.109375" style="1" customWidth="1"/>
    <col min="4" max="4" width="34.109375" style="1" customWidth="1"/>
    <col min="5" max="5" width="12.88671875" style="1" customWidth="1"/>
    <col min="6" max="6" width="10.33203125" style="1" customWidth="1"/>
    <col min="7" max="7" width="17.88671875" style="1" customWidth="1"/>
    <col min="8" max="8" width="12.88671875" style="1" customWidth="1"/>
    <col min="9" max="9" width="20.33203125" style="1" customWidth="1"/>
    <col min="10" max="10" width="22.88671875" style="1" customWidth="1"/>
    <col min="11" max="11" width="24.109375" style="1" customWidth="1"/>
    <col min="12" max="12" width="9.109375" style="1" customWidth="1"/>
    <col min="13" max="16384" width="9.109375" style="1"/>
  </cols>
  <sheetData>
    <row r="1" spans="1:11" x14ac:dyDescent="0.35">
      <c r="A1" s="2" t="s">
        <v>0</v>
      </c>
      <c r="B1" s="1" t="s">
        <v>8</v>
      </c>
      <c r="C1" s="2" t="s">
        <v>343</v>
      </c>
      <c r="D1" s="1" t="s">
        <v>12</v>
      </c>
    </row>
    <row r="2" spans="1:11" x14ac:dyDescent="0.35">
      <c r="A2" s="2" t="s">
        <v>3</v>
      </c>
      <c r="B2" s="1" t="s">
        <v>11</v>
      </c>
      <c r="C2" s="2" t="s">
        <v>6</v>
      </c>
      <c r="D2" s="1" t="s">
        <v>14</v>
      </c>
    </row>
    <row r="7" spans="1:11" x14ac:dyDescent="0.35">
      <c r="A7" s="3" t="s">
        <v>17</v>
      </c>
      <c r="B7" s="3" t="s">
        <v>23</v>
      </c>
      <c r="C7" s="3" t="s">
        <v>22</v>
      </c>
      <c r="D7" s="3" t="s">
        <v>24</v>
      </c>
      <c r="E7" s="3" t="s">
        <v>344</v>
      </c>
      <c r="F7" s="3" t="s">
        <v>345</v>
      </c>
      <c r="G7" s="3" t="s">
        <v>346</v>
      </c>
      <c r="H7" s="3" t="s">
        <v>347</v>
      </c>
      <c r="I7" s="3" t="s">
        <v>348</v>
      </c>
      <c r="J7" s="3" t="s">
        <v>349</v>
      </c>
      <c r="K7" s="3" t="s">
        <v>350</v>
      </c>
    </row>
    <row r="8" spans="1:11" ht="15" thickBot="1" x14ac:dyDescent="0.4">
      <c r="A8" s="1" t="s">
        <v>86</v>
      </c>
      <c r="B8" s="1" t="s">
        <v>90</v>
      </c>
      <c r="C8" s="1" t="s">
        <v>89</v>
      </c>
      <c r="D8" s="1" t="s">
        <v>91</v>
      </c>
      <c r="E8" s="1" t="s">
        <v>351</v>
      </c>
      <c r="F8" s="1" t="s">
        <v>117</v>
      </c>
      <c r="G8" s="1" t="s">
        <v>352</v>
      </c>
      <c r="H8" s="1">
        <v>3000</v>
      </c>
      <c r="I8" s="1">
        <v>0</v>
      </c>
      <c r="J8" s="1">
        <v>0</v>
      </c>
      <c r="K8" s="1">
        <v>3000</v>
      </c>
    </row>
    <row r="9" spans="1:11" x14ac:dyDescent="0.35">
      <c r="A9" s="4" t="s">
        <v>111</v>
      </c>
      <c r="B9" s="4" t="s">
        <v>111</v>
      </c>
      <c r="C9" s="4" t="s">
        <v>111</v>
      </c>
      <c r="D9" s="4" t="s">
        <v>111</v>
      </c>
      <c r="E9" s="4" t="s">
        <v>78</v>
      </c>
      <c r="F9" s="4" t="s">
        <v>111</v>
      </c>
      <c r="G9" s="4" t="s">
        <v>111</v>
      </c>
      <c r="H9" s="4">
        <v>3000</v>
      </c>
      <c r="I9" s="4">
        <v>0</v>
      </c>
      <c r="J9" s="4">
        <v>0</v>
      </c>
      <c r="K9" s="4">
        <v>3000</v>
      </c>
    </row>
    <row r="10" spans="1:11" x14ac:dyDescent="0.35">
      <c r="A10" s="1" t="s">
        <v>96</v>
      </c>
      <c r="B10" s="1" t="s">
        <v>97</v>
      </c>
      <c r="C10" s="1" t="s">
        <v>89</v>
      </c>
      <c r="D10" s="1" t="s">
        <v>98</v>
      </c>
      <c r="E10" s="1" t="s">
        <v>353</v>
      </c>
      <c r="F10" s="1" t="s">
        <v>117</v>
      </c>
      <c r="G10" s="1" t="s">
        <v>326</v>
      </c>
      <c r="H10" s="1">
        <v>72000</v>
      </c>
      <c r="I10" s="1">
        <v>68400</v>
      </c>
      <c r="J10" s="1">
        <v>0</v>
      </c>
      <c r="K10" s="1">
        <v>3600</v>
      </c>
    </row>
    <row r="11" spans="1:11" ht="15" thickBot="1" x14ac:dyDescent="0.4">
      <c r="A11" s="1" t="s">
        <v>96</v>
      </c>
      <c r="B11" s="1" t="s">
        <v>97</v>
      </c>
      <c r="C11" s="1" t="s">
        <v>89</v>
      </c>
      <c r="D11" s="1" t="s">
        <v>98</v>
      </c>
      <c r="E11" s="1" t="s">
        <v>354</v>
      </c>
      <c r="F11" s="1" t="s">
        <v>117</v>
      </c>
      <c r="G11" s="1" t="s">
        <v>355</v>
      </c>
      <c r="H11" s="1">
        <v>199800</v>
      </c>
      <c r="I11" s="1">
        <v>0</v>
      </c>
      <c r="J11" s="1">
        <v>0</v>
      </c>
      <c r="K11" s="1">
        <v>199800</v>
      </c>
    </row>
    <row r="12" spans="1:11" x14ac:dyDescent="0.35">
      <c r="A12" s="4" t="s">
        <v>111</v>
      </c>
      <c r="B12" s="4" t="s">
        <v>111</v>
      </c>
      <c r="C12" s="4" t="s">
        <v>111</v>
      </c>
      <c r="D12" s="4" t="s">
        <v>111</v>
      </c>
      <c r="E12" s="4" t="s">
        <v>78</v>
      </c>
      <c r="F12" s="4" t="s">
        <v>111</v>
      </c>
      <c r="G12" s="4" t="s">
        <v>111</v>
      </c>
      <c r="H12" s="4">
        <v>271800</v>
      </c>
      <c r="I12" s="4">
        <v>68400</v>
      </c>
      <c r="J12" s="4">
        <v>0</v>
      </c>
      <c r="K12" s="4">
        <v>203400</v>
      </c>
    </row>
    <row r="13" spans="1:11" x14ac:dyDescent="0.35">
      <c r="A13" s="1" t="s">
        <v>101</v>
      </c>
      <c r="B13" s="1" t="s">
        <v>102</v>
      </c>
      <c r="C13" s="1" t="s">
        <v>89</v>
      </c>
      <c r="D13" s="1" t="s">
        <v>98</v>
      </c>
      <c r="E13" s="1" t="s">
        <v>356</v>
      </c>
      <c r="F13" s="1" t="s">
        <v>117</v>
      </c>
      <c r="G13" s="1" t="s">
        <v>357</v>
      </c>
      <c r="H13" s="1">
        <v>7200</v>
      </c>
      <c r="I13" s="1">
        <v>5600</v>
      </c>
      <c r="J13" s="1">
        <v>0</v>
      </c>
      <c r="K13" s="1">
        <v>1600</v>
      </c>
    </row>
    <row r="14" spans="1:11" x14ac:dyDescent="0.35">
      <c r="A14" s="1" t="s">
        <v>101</v>
      </c>
      <c r="B14" s="1" t="s">
        <v>102</v>
      </c>
      <c r="C14" s="1" t="s">
        <v>89</v>
      </c>
      <c r="D14" s="1" t="s">
        <v>98</v>
      </c>
      <c r="E14" s="1" t="s">
        <v>358</v>
      </c>
      <c r="F14" s="1" t="s">
        <v>117</v>
      </c>
      <c r="G14" s="1" t="s">
        <v>357</v>
      </c>
      <c r="H14" s="1">
        <v>2400</v>
      </c>
      <c r="I14" s="1">
        <v>0</v>
      </c>
      <c r="J14" s="1">
        <v>0</v>
      </c>
      <c r="K14" s="1">
        <v>2400</v>
      </c>
    </row>
    <row r="15" spans="1:11" x14ac:dyDescent="0.35">
      <c r="A15" s="1" t="s">
        <v>101</v>
      </c>
      <c r="B15" s="1" t="s">
        <v>102</v>
      </c>
      <c r="C15" s="1" t="s">
        <v>89</v>
      </c>
      <c r="D15" s="1" t="s">
        <v>98</v>
      </c>
      <c r="E15" s="1" t="s">
        <v>359</v>
      </c>
      <c r="F15" s="1" t="s">
        <v>117</v>
      </c>
      <c r="G15" s="1" t="s">
        <v>357</v>
      </c>
      <c r="H15" s="1">
        <v>4800</v>
      </c>
      <c r="I15" s="1">
        <v>0</v>
      </c>
      <c r="J15" s="1">
        <v>0</v>
      </c>
      <c r="K15" s="1">
        <v>4800</v>
      </c>
    </row>
    <row r="16" spans="1:11" x14ac:dyDescent="0.35">
      <c r="A16" s="1" t="s">
        <v>101</v>
      </c>
      <c r="B16" s="1" t="s">
        <v>102</v>
      </c>
      <c r="C16" s="1" t="s">
        <v>89</v>
      </c>
      <c r="D16" s="1" t="s">
        <v>98</v>
      </c>
      <c r="E16" s="1" t="s">
        <v>360</v>
      </c>
      <c r="F16" s="1" t="s">
        <v>117</v>
      </c>
      <c r="G16" s="1" t="s">
        <v>357</v>
      </c>
      <c r="H16" s="1">
        <v>7200</v>
      </c>
      <c r="I16" s="1">
        <v>0</v>
      </c>
      <c r="J16" s="1">
        <v>0</v>
      </c>
      <c r="K16" s="1">
        <v>7200</v>
      </c>
    </row>
    <row r="17" spans="1:11" x14ac:dyDescent="0.35">
      <c r="A17" s="1" t="s">
        <v>101</v>
      </c>
      <c r="B17" s="1" t="s">
        <v>102</v>
      </c>
      <c r="C17" s="1" t="s">
        <v>89</v>
      </c>
      <c r="D17" s="1" t="s">
        <v>98</v>
      </c>
      <c r="E17" s="1" t="s">
        <v>361</v>
      </c>
      <c r="F17" s="1" t="s">
        <v>117</v>
      </c>
      <c r="G17" s="1" t="s">
        <v>357</v>
      </c>
      <c r="H17" s="1">
        <v>1600</v>
      </c>
      <c r="I17" s="1">
        <v>0</v>
      </c>
      <c r="J17" s="1">
        <v>0</v>
      </c>
      <c r="K17" s="1">
        <v>1600</v>
      </c>
    </row>
    <row r="18" spans="1:11" x14ac:dyDescent="0.35">
      <c r="A18" s="1" t="s">
        <v>101</v>
      </c>
      <c r="B18" s="1" t="s">
        <v>102</v>
      </c>
      <c r="C18" s="1" t="s">
        <v>89</v>
      </c>
      <c r="D18" s="1" t="s">
        <v>98</v>
      </c>
      <c r="E18" s="1" t="s">
        <v>362</v>
      </c>
      <c r="F18" s="1" t="s">
        <v>117</v>
      </c>
      <c r="G18" s="1" t="s">
        <v>357</v>
      </c>
      <c r="H18" s="1">
        <v>4000</v>
      </c>
      <c r="I18" s="1">
        <v>0</v>
      </c>
      <c r="J18" s="1">
        <v>0</v>
      </c>
      <c r="K18" s="1">
        <v>4000</v>
      </c>
    </row>
    <row r="19" spans="1:11" x14ac:dyDescent="0.35">
      <c r="A19" s="1" t="s">
        <v>101</v>
      </c>
      <c r="B19" s="1" t="s">
        <v>102</v>
      </c>
      <c r="C19" s="1" t="s">
        <v>89</v>
      </c>
      <c r="D19" s="1" t="s">
        <v>98</v>
      </c>
      <c r="E19" s="1" t="s">
        <v>363</v>
      </c>
      <c r="F19" s="1" t="s">
        <v>117</v>
      </c>
      <c r="G19" s="1" t="s">
        <v>364</v>
      </c>
      <c r="H19" s="1">
        <v>4000</v>
      </c>
      <c r="I19" s="1">
        <v>0</v>
      </c>
      <c r="J19" s="1">
        <v>0</v>
      </c>
      <c r="K19" s="1">
        <v>4000</v>
      </c>
    </row>
    <row r="20" spans="1:11" ht="15" thickBot="1" x14ac:dyDescent="0.4">
      <c r="A20" s="1" t="s">
        <v>101</v>
      </c>
      <c r="B20" s="1" t="s">
        <v>102</v>
      </c>
      <c r="C20" s="1" t="s">
        <v>89</v>
      </c>
      <c r="D20" s="1" t="s">
        <v>98</v>
      </c>
      <c r="E20" s="1" t="s">
        <v>365</v>
      </c>
      <c r="F20" s="1" t="s">
        <v>117</v>
      </c>
      <c r="G20" s="1" t="s">
        <v>364</v>
      </c>
      <c r="H20" s="1">
        <v>800</v>
      </c>
      <c r="I20" s="1">
        <v>0</v>
      </c>
      <c r="J20" s="1">
        <v>0</v>
      </c>
      <c r="K20" s="1">
        <v>800</v>
      </c>
    </row>
    <row r="21" spans="1:11" x14ac:dyDescent="0.35">
      <c r="A21" s="4" t="s">
        <v>111</v>
      </c>
      <c r="B21" s="4" t="s">
        <v>111</v>
      </c>
      <c r="C21" s="4" t="s">
        <v>111</v>
      </c>
      <c r="D21" s="4" t="s">
        <v>111</v>
      </c>
      <c r="E21" s="4" t="s">
        <v>78</v>
      </c>
      <c r="F21" s="4" t="s">
        <v>111</v>
      </c>
      <c r="G21" s="4" t="s">
        <v>111</v>
      </c>
      <c r="H21" s="4">
        <v>32000</v>
      </c>
      <c r="I21" s="4">
        <v>5600</v>
      </c>
      <c r="J21" s="4">
        <v>0</v>
      </c>
      <c r="K21" s="4">
        <v>26400</v>
      </c>
    </row>
    <row r="22" spans="1:11" x14ac:dyDescent="0.35">
      <c r="A22" s="1" t="s">
        <v>105</v>
      </c>
      <c r="B22" s="1" t="s">
        <v>106</v>
      </c>
      <c r="C22" s="1" t="s">
        <v>89</v>
      </c>
      <c r="D22" s="1" t="s">
        <v>98</v>
      </c>
      <c r="E22" s="1" t="s">
        <v>366</v>
      </c>
      <c r="F22" s="1" t="s">
        <v>117</v>
      </c>
      <c r="G22" s="1" t="s">
        <v>355</v>
      </c>
      <c r="H22" s="1">
        <v>1800</v>
      </c>
      <c r="I22" s="1">
        <v>0</v>
      </c>
      <c r="J22" s="1">
        <v>0</v>
      </c>
      <c r="K22" s="1">
        <v>1800</v>
      </c>
    </row>
    <row r="23" spans="1:11" x14ac:dyDescent="0.35">
      <c r="A23" s="1" t="s">
        <v>105</v>
      </c>
      <c r="B23" s="1" t="s">
        <v>106</v>
      </c>
      <c r="C23" s="1" t="s">
        <v>89</v>
      </c>
      <c r="D23" s="1" t="s">
        <v>98</v>
      </c>
      <c r="E23" s="1" t="s">
        <v>367</v>
      </c>
      <c r="F23" s="1" t="s">
        <v>117</v>
      </c>
      <c r="G23" s="1" t="s">
        <v>368</v>
      </c>
      <c r="H23" s="1">
        <v>1800</v>
      </c>
      <c r="I23" s="1">
        <v>0</v>
      </c>
      <c r="J23" s="1">
        <v>0</v>
      </c>
      <c r="K23" s="1">
        <v>1800</v>
      </c>
    </row>
    <row r="24" spans="1:11" ht="15" thickBot="1" x14ac:dyDescent="0.4">
      <c r="A24" s="1" t="s">
        <v>105</v>
      </c>
      <c r="B24" s="1" t="s">
        <v>106</v>
      </c>
      <c r="C24" s="1" t="s">
        <v>89</v>
      </c>
      <c r="D24" s="1" t="s">
        <v>98</v>
      </c>
      <c r="E24" s="1" t="s">
        <v>369</v>
      </c>
      <c r="F24" s="1" t="s">
        <v>117</v>
      </c>
      <c r="G24" s="1" t="s">
        <v>32</v>
      </c>
      <c r="H24" s="1">
        <v>3600</v>
      </c>
      <c r="I24" s="1">
        <v>0</v>
      </c>
      <c r="J24" s="1">
        <v>0</v>
      </c>
      <c r="K24" s="1">
        <v>3600</v>
      </c>
    </row>
    <row r="25" spans="1:11" x14ac:dyDescent="0.35">
      <c r="A25" s="4" t="s">
        <v>111</v>
      </c>
      <c r="B25" s="4" t="s">
        <v>111</v>
      </c>
      <c r="C25" s="4" t="s">
        <v>111</v>
      </c>
      <c r="D25" s="4" t="s">
        <v>111</v>
      </c>
      <c r="E25" s="4" t="s">
        <v>78</v>
      </c>
      <c r="F25" s="4" t="s">
        <v>111</v>
      </c>
      <c r="G25" s="4" t="s">
        <v>111</v>
      </c>
      <c r="H25" s="4">
        <v>7200</v>
      </c>
      <c r="I25" s="4">
        <v>0</v>
      </c>
      <c r="J25" s="4">
        <v>0</v>
      </c>
      <c r="K25" s="4">
        <v>7200</v>
      </c>
    </row>
    <row r="26" spans="1:11" x14ac:dyDescent="0.35">
      <c r="A26" s="1" t="s">
        <v>109</v>
      </c>
      <c r="B26" s="1" t="s">
        <v>110</v>
      </c>
      <c r="C26" s="1" t="s">
        <v>89</v>
      </c>
      <c r="D26" s="1" t="s">
        <v>111</v>
      </c>
      <c r="E26" s="1" t="s">
        <v>370</v>
      </c>
      <c r="F26" s="1" t="s">
        <v>117</v>
      </c>
      <c r="G26" s="1" t="s">
        <v>320</v>
      </c>
      <c r="H26" s="1">
        <v>6000</v>
      </c>
      <c r="I26" s="1">
        <v>3000</v>
      </c>
      <c r="J26" s="1">
        <v>0</v>
      </c>
      <c r="K26" s="1">
        <v>3000</v>
      </c>
    </row>
    <row r="27" spans="1:11" x14ac:dyDescent="0.35">
      <c r="A27" s="1" t="s">
        <v>109</v>
      </c>
      <c r="B27" s="1" t="s">
        <v>110</v>
      </c>
      <c r="C27" s="1" t="s">
        <v>89</v>
      </c>
      <c r="D27" s="1" t="s">
        <v>111</v>
      </c>
      <c r="E27" s="1" t="s">
        <v>371</v>
      </c>
      <c r="F27" s="1" t="s">
        <v>117</v>
      </c>
      <c r="G27" s="1" t="s">
        <v>320</v>
      </c>
      <c r="H27" s="1">
        <v>3000</v>
      </c>
      <c r="I27" s="1">
        <v>0</v>
      </c>
      <c r="J27" s="1">
        <v>0</v>
      </c>
      <c r="K27" s="1">
        <v>3000</v>
      </c>
    </row>
    <row r="28" spans="1:11" ht="15" thickBot="1" x14ac:dyDescent="0.4">
      <c r="A28" s="1" t="s">
        <v>109</v>
      </c>
      <c r="B28" s="1" t="s">
        <v>110</v>
      </c>
      <c r="C28" s="1" t="s">
        <v>89</v>
      </c>
      <c r="D28" s="1" t="s">
        <v>111</v>
      </c>
      <c r="E28" s="1" t="s">
        <v>372</v>
      </c>
      <c r="F28" s="1" t="s">
        <v>117</v>
      </c>
      <c r="G28" s="1" t="s">
        <v>326</v>
      </c>
      <c r="H28" s="1">
        <v>54000</v>
      </c>
      <c r="I28" s="1">
        <v>0</v>
      </c>
      <c r="J28" s="1">
        <v>0</v>
      </c>
      <c r="K28" s="1">
        <v>54000</v>
      </c>
    </row>
    <row r="29" spans="1:11" x14ac:dyDescent="0.35">
      <c r="A29" s="4" t="s">
        <v>111</v>
      </c>
      <c r="B29" s="4" t="s">
        <v>111</v>
      </c>
      <c r="C29" s="4" t="s">
        <v>111</v>
      </c>
      <c r="D29" s="4" t="s">
        <v>111</v>
      </c>
      <c r="E29" s="4" t="s">
        <v>78</v>
      </c>
      <c r="F29" s="4" t="s">
        <v>111</v>
      </c>
      <c r="G29" s="4" t="s">
        <v>111</v>
      </c>
      <c r="H29" s="4">
        <v>63000</v>
      </c>
      <c r="I29" s="4">
        <v>3000</v>
      </c>
      <c r="J29" s="4">
        <v>0</v>
      </c>
      <c r="K29" s="4">
        <v>60000</v>
      </c>
    </row>
    <row r="30" spans="1:11" x14ac:dyDescent="0.35">
      <c r="A30" s="1" t="s">
        <v>119</v>
      </c>
      <c r="B30" s="1" t="s">
        <v>120</v>
      </c>
      <c r="C30" s="1" t="s">
        <v>89</v>
      </c>
      <c r="D30" s="1" t="s">
        <v>121</v>
      </c>
      <c r="E30" s="1" t="s">
        <v>373</v>
      </c>
      <c r="F30" s="1" t="s">
        <v>117</v>
      </c>
      <c r="G30" s="1" t="s">
        <v>374</v>
      </c>
      <c r="H30" s="1">
        <v>21000</v>
      </c>
      <c r="I30" s="1">
        <v>0</v>
      </c>
      <c r="J30" s="1">
        <v>0</v>
      </c>
      <c r="K30" s="1">
        <v>21000</v>
      </c>
    </row>
    <row r="31" spans="1:11" ht="15" thickBot="1" x14ac:dyDescent="0.4">
      <c r="A31" s="1" t="s">
        <v>119</v>
      </c>
      <c r="B31" s="1" t="s">
        <v>120</v>
      </c>
      <c r="C31" s="1" t="s">
        <v>89</v>
      </c>
      <c r="D31" s="1" t="s">
        <v>121</v>
      </c>
      <c r="E31" s="1" t="s">
        <v>375</v>
      </c>
      <c r="F31" s="1" t="s">
        <v>117</v>
      </c>
      <c r="G31" s="1" t="s">
        <v>320</v>
      </c>
      <c r="H31" s="1">
        <v>15000</v>
      </c>
      <c r="I31" s="1">
        <v>0</v>
      </c>
      <c r="J31" s="1">
        <v>0</v>
      </c>
      <c r="K31" s="1">
        <v>15000</v>
      </c>
    </row>
    <row r="32" spans="1:11" x14ac:dyDescent="0.35">
      <c r="A32" s="4" t="s">
        <v>111</v>
      </c>
      <c r="B32" s="4" t="s">
        <v>111</v>
      </c>
      <c r="C32" s="4" t="s">
        <v>111</v>
      </c>
      <c r="D32" s="4" t="s">
        <v>111</v>
      </c>
      <c r="E32" s="4" t="s">
        <v>78</v>
      </c>
      <c r="F32" s="4" t="s">
        <v>111</v>
      </c>
      <c r="G32" s="4" t="s">
        <v>111</v>
      </c>
      <c r="H32" s="4">
        <v>36000</v>
      </c>
      <c r="I32" s="4">
        <v>0</v>
      </c>
      <c r="J32" s="4">
        <v>0</v>
      </c>
      <c r="K32" s="4">
        <v>36000</v>
      </c>
    </row>
    <row r="33" spans="1:11" ht="15" thickBot="1" x14ac:dyDescent="0.4">
      <c r="A33" s="1" t="s">
        <v>134</v>
      </c>
      <c r="B33" s="1" t="s">
        <v>135</v>
      </c>
      <c r="C33" s="1" t="s">
        <v>89</v>
      </c>
      <c r="D33" s="1" t="s">
        <v>126</v>
      </c>
      <c r="E33" s="1" t="s">
        <v>376</v>
      </c>
      <c r="F33" s="1" t="s">
        <v>117</v>
      </c>
      <c r="G33" s="1" t="s">
        <v>377</v>
      </c>
      <c r="H33" s="1">
        <v>21000</v>
      </c>
      <c r="I33" s="1">
        <v>18000</v>
      </c>
      <c r="J33" s="1">
        <v>0</v>
      </c>
      <c r="K33" s="1">
        <v>3000</v>
      </c>
    </row>
    <row r="34" spans="1:11" x14ac:dyDescent="0.35">
      <c r="A34" s="4" t="s">
        <v>111</v>
      </c>
      <c r="B34" s="4" t="s">
        <v>111</v>
      </c>
      <c r="C34" s="4" t="s">
        <v>111</v>
      </c>
      <c r="D34" s="4" t="s">
        <v>111</v>
      </c>
      <c r="E34" s="4" t="s">
        <v>78</v>
      </c>
      <c r="F34" s="4" t="s">
        <v>111</v>
      </c>
      <c r="G34" s="4" t="s">
        <v>111</v>
      </c>
      <c r="H34" s="4">
        <v>21000</v>
      </c>
      <c r="I34" s="4">
        <v>18000</v>
      </c>
      <c r="J34" s="4">
        <v>0</v>
      </c>
      <c r="K34" s="4">
        <v>3000</v>
      </c>
    </row>
    <row r="35" spans="1:11" ht="15" thickBot="1" x14ac:dyDescent="0.4">
      <c r="A35" s="1" t="s">
        <v>138</v>
      </c>
      <c r="B35" s="1" t="s">
        <v>139</v>
      </c>
      <c r="C35" s="1" t="s">
        <v>89</v>
      </c>
      <c r="D35" s="1" t="s">
        <v>140</v>
      </c>
      <c r="E35" s="1" t="s">
        <v>378</v>
      </c>
      <c r="F35" s="1" t="s">
        <v>117</v>
      </c>
      <c r="G35" s="1" t="s">
        <v>32</v>
      </c>
      <c r="H35" s="1">
        <v>12000</v>
      </c>
      <c r="I35" s="1">
        <v>0</v>
      </c>
      <c r="J35" s="1">
        <v>0</v>
      </c>
      <c r="K35" s="1">
        <v>12000</v>
      </c>
    </row>
    <row r="36" spans="1:11" x14ac:dyDescent="0.35">
      <c r="A36" s="4" t="s">
        <v>111</v>
      </c>
      <c r="B36" s="4" t="s">
        <v>111</v>
      </c>
      <c r="C36" s="4" t="s">
        <v>111</v>
      </c>
      <c r="D36" s="4" t="s">
        <v>111</v>
      </c>
      <c r="E36" s="4" t="s">
        <v>78</v>
      </c>
      <c r="F36" s="4" t="s">
        <v>111</v>
      </c>
      <c r="G36" s="4" t="s">
        <v>111</v>
      </c>
      <c r="H36" s="4">
        <v>12000</v>
      </c>
      <c r="I36" s="4">
        <v>0</v>
      </c>
      <c r="J36" s="4">
        <v>0</v>
      </c>
      <c r="K36" s="4">
        <v>12000</v>
      </c>
    </row>
    <row r="37" spans="1:11" x14ac:dyDescent="0.35">
      <c r="A37" s="1" t="s">
        <v>143</v>
      </c>
      <c r="B37" s="1" t="s">
        <v>144</v>
      </c>
      <c r="C37" s="1" t="s">
        <v>89</v>
      </c>
      <c r="D37" s="1" t="s">
        <v>131</v>
      </c>
      <c r="E37" s="1" t="s">
        <v>379</v>
      </c>
      <c r="F37" s="1" t="s">
        <v>117</v>
      </c>
      <c r="G37" s="1" t="s">
        <v>352</v>
      </c>
      <c r="H37" s="1">
        <v>3000</v>
      </c>
      <c r="I37" s="1">
        <v>0</v>
      </c>
      <c r="J37" s="1">
        <v>0</v>
      </c>
      <c r="K37" s="1">
        <v>3000</v>
      </c>
    </row>
    <row r="38" spans="1:11" ht="15" thickBot="1" x14ac:dyDescent="0.4">
      <c r="A38" s="1" t="s">
        <v>143</v>
      </c>
      <c r="B38" s="1" t="s">
        <v>144</v>
      </c>
      <c r="C38" s="1" t="s">
        <v>89</v>
      </c>
      <c r="D38" s="1" t="s">
        <v>131</v>
      </c>
      <c r="E38" s="1" t="s">
        <v>380</v>
      </c>
      <c r="F38" s="1" t="s">
        <v>117</v>
      </c>
      <c r="G38" s="1" t="s">
        <v>352</v>
      </c>
      <c r="H38" s="1">
        <v>3000</v>
      </c>
      <c r="I38" s="1">
        <v>0</v>
      </c>
      <c r="J38" s="1">
        <v>0</v>
      </c>
      <c r="K38" s="1">
        <v>3000</v>
      </c>
    </row>
    <row r="39" spans="1:11" x14ac:dyDescent="0.35">
      <c r="A39" s="4" t="s">
        <v>111</v>
      </c>
      <c r="B39" s="4" t="s">
        <v>111</v>
      </c>
      <c r="C39" s="4" t="s">
        <v>111</v>
      </c>
      <c r="D39" s="4" t="s">
        <v>111</v>
      </c>
      <c r="E39" s="4" t="s">
        <v>78</v>
      </c>
      <c r="F39" s="4" t="s">
        <v>111</v>
      </c>
      <c r="G39" s="4" t="s">
        <v>111</v>
      </c>
      <c r="H39" s="4">
        <v>6000</v>
      </c>
      <c r="I39" s="4">
        <v>0</v>
      </c>
      <c r="J39" s="4">
        <v>0</v>
      </c>
      <c r="K39" s="4">
        <v>6000</v>
      </c>
    </row>
    <row r="40" spans="1:11" x14ac:dyDescent="0.35">
      <c r="A40" s="1" t="s">
        <v>147</v>
      </c>
      <c r="B40" s="1" t="s">
        <v>148</v>
      </c>
      <c r="C40" s="1" t="s">
        <v>89</v>
      </c>
      <c r="D40" s="1" t="s">
        <v>149</v>
      </c>
      <c r="E40" s="1" t="s">
        <v>381</v>
      </c>
      <c r="F40" s="1" t="s">
        <v>117</v>
      </c>
      <c r="G40" s="1" t="s">
        <v>382</v>
      </c>
      <c r="H40" s="1">
        <v>40000</v>
      </c>
      <c r="I40" s="1">
        <v>30000</v>
      </c>
      <c r="J40" s="1">
        <v>0</v>
      </c>
      <c r="K40" s="1">
        <v>10000</v>
      </c>
    </row>
    <row r="41" spans="1:11" x14ac:dyDescent="0.35">
      <c r="A41" s="1" t="s">
        <v>147</v>
      </c>
      <c r="B41" s="1" t="s">
        <v>148</v>
      </c>
      <c r="C41" s="1" t="s">
        <v>89</v>
      </c>
      <c r="D41" s="1" t="s">
        <v>149</v>
      </c>
      <c r="E41" s="1" t="s">
        <v>383</v>
      </c>
      <c r="F41" s="1" t="s">
        <v>117</v>
      </c>
      <c r="G41" s="1" t="s">
        <v>384</v>
      </c>
      <c r="H41" s="1">
        <v>30000</v>
      </c>
      <c r="I41" s="1">
        <v>0</v>
      </c>
      <c r="J41" s="1">
        <v>0</v>
      </c>
      <c r="K41" s="1">
        <v>30000</v>
      </c>
    </row>
    <row r="42" spans="1:11" x14ac:dyDescent="0.35">
      <c r="A42" s="1" t="s">
        <v>147</v>
      </c>
      <c r="B42" s="1" t="s">
        <v>148</v>
      </c>
      <c r="C42" s="1" t="s">
        <v>89</v>
      </c>
      <c r="D42" s="1" t="s">
        <v>149</v>
      </c>
      <c r="E42" s="1" t="s">
        <v>385</v>
      </c>
      <c r="F42" s="1" t="s">
        <v>117</v>
      </c>
      <c r="G42" s="1" t="s">
        <v>355</v>
      </c>
      <c r="H42" s="1">
        <v>115000</v>
      </c>
      <c r="I42" s="1">
        <v>0</v>
      </c>
      <c r="J42" s="1">
        <v>0</v>
      </c>
      <c r="K42" s="1">
        <v>115000</v>
      </c>
    </row>
    <row r="43" spans="1:11" x14ac:dyDescent="0.35">
      <c r="A43" s="1" t="s">
        <v>147</v>
      </c>
      <c r="B43" s="1" t="s">
        <v>148</v>
      </c>
      <c r="C43" s="1" t="s">
        <v>89</v>
      </c>
      <c r="D43" s="1" t="s">
        <v>149</v>
      </c>
      <c r="E43" s="1" t="s">
        <v>386</v>
      </c>
      <c r="F43" s="1" t="s">
        <v>117</v>
      </c>
      <c r="G43" s="1" t="s">
        <v>368</v>
      </c>
      <c r="H43" s="1">
        <v>5000</v>
      </c>
      <c r="I43" s="1">
        <v>0</v>
      </c>
      <c r="J43" s="1">
        <v>0</v>
      </c>
      <c r="K43" s="1">
        <v>5000</v>
      </c>
    </row>
    <row r="44" spans="1:11" x14ac:dyDescent="0.35">
      <c r="A44" s="1" t="s">
        <v>147</v>
      </c>
      <c r="B44" s="1" t="s">
        <v>148</v>
      </c>
      <c r="C44" s="1" t="s">
        <v>89</v>
      </c>
      <c r="D44" s="1" t="s">
        <v>149</v>
      </c>
      <c r="E44" s="1" t="s">
        <v>387</v>
      </c>
      <c r="F44" s="1" t="s">
        <v>117</v>
      </c>
      <c r="G44" s="1" t="s">
        <v>38</v>
      </c>
      <c r="H44" s="1">
        <v>5000</v>
      </c>
      <c r="I44" s="1">
        <v>0</v>
      </c>
      <c r="J44" s="1">
        <v>0</v>
      </c>
      <c r="K44" s="1">
        <v>5000</v>
      </c>
    </row>
    <row r="45" spans="1:11" x14ac:dyDescent="0.35">
      <c r="A45" s="1" t="s">
        <v>147</v>
      </c>
      <c r="B45" s="1" t="s">
        <v>148</v>
      </c>
      <c r="C45" s="1" t="s">
        <v>89</v>
      </c>
      <c r="D45" s="1" t="s">
        <v>149</v>
      </c>
      <c r="E45" s="1" t="s">
        <v>388</v>
      </c>
      <c r="F45" s="1" t="s">
        <v>117</v>
      </c>
      <c r="G45" s="1" t="s">
        <v>389</v>
      </c>
      <c r="H45" s="1">
        <v>5000</v>
      </c>
      <c r="I45" s="1">
        <v>0</v>
      </c>
      <c r="J45" s="1">
        <v>0</v>
      </c>
      <c r="K45" s="1">
        <v>5000</v>
      </c>
    </row>
    <row r="46" spans="1:11" x14ac:dyDescent="0.35">
      <c r="A46" s="1" t="s">
        <v>147</v>
      </c>
      <c r="B46" s="1" t="s">
        <v>148</v>
      </c>
      <c r="C46" s="1" t="s">
        <v>89</v>
      </c>
      <c r="D46" s="1" t="s">
        <v>149</v>
      </c>
      <c r="E46" s="1" t="s">
        <v>390</v>
      </c>
      <c r="F46" s="1" t="s">
        <v>117</v>
      </c>
      <c r="G46" s="1" t="s">
        <v>391</v>
      </c>
      <c r="H46" s="1">
        <v>35000</v>
      </c>
      <c r="I46" s="1">
        <v>0</v>
      </c>
      <c r="J46" s="1">
        <v>0</v>
      </c>
      <c r="K46" s="1">
        <v>35000</v>
      </c>
    </row>
    <row r="47" spans="1:11" ht="15" thickBot="1" x14ac:dyDescent="0.4">
      <c r="A47" s="1" t="s">
        <v>147</v>
      </c>
      <c r="B47" s="1" t="s">
        <v>148</v>
      </c>
      <c r="C47" s="1" t="s">
        <v>89</v>
      </c>
      <c r="D47" s="1" t="s">
        <v>149</v>
      </c>
      <c r="E47" s="1" t="s">
        <v>392</v>
      </c>
      <c r="F47" s="1" t="s">
        <v>117</v>
      </c>
      <c r="G47" s="1" t="s">
        <v>391</v>
      </c>
      <c r="H47" s="1">
        <v>95000</v>
      </c>
      <c r="I47" s="1">
        <v>0</v>
      </c>
      <c r="J47" s="1">
        <v>0</v>
      </c>
      <c r="K47" s="1">
        <v>95000</v>
      </c>
    </row>
    <row r="48" spans="1:11" x14ac:dyDescent="0.35">
      <c r="A48" s="4" t="s">
        <v>111</v>
      </c>
      <c r="B48" s="4" t="s">
        <v>111</v>
      </c>
      <c r="C48" s="4" t="s">
        <v>111</v>
      </c>
      <c r="D48" s="4" t="s">
        <v>111</v>
      </c>
      <c r="E48" s="4" t="s">
        <v>78</v>
      </c>
      <c r="F48" s="4" t="s">
        <v>111</v>
      </c>
      <c r="G48" s="4" t="s">
        <v>111</v>
      </c>
      <c r="H48" s="4">
        <v>330000</v>
      </c>
      <c r="I48" s="4">
        <v>30000</v>
      </c>
      <c r="J48" s="4">
        <v>0</v>
      </c>
      <c r="K48" s="4">
        <v>300000</v>
      </c>
    </row>
    <row r="49" spans="1:11" ht="15" thickBot="1" x14ac:dyDescent="0.4">
      <c r="A49" s="1" t="s">
        <v>393</v>
      </c>
      <c r="B49" s="1" t="s">
        <v>394</v>
      </c>
      <c r="C49" s="1" t="s">
        <v>89</v>
      </c>
      <c r="D49" s="1" t="s">
        <v>219</v>
      </c>
      <c r="E49" s="1" t="s">
        <v>395</v>
      </c>
      <c r="F49" s="1" t="s">
        <v>117</v>
      </c>
      <c r="G49" s="1" t="s">
        <v>396</v>
      </c>
      <c r="H49" s="1">
        <v>300000</v>
      </c>
      <c r="I49" s="1">
        <v>78000</v>
      </c>
      <c r="J49" s="1">
        <v>0</v>
      </c>
      <c r="K49" s="1">
        <v>222000</v>
      </c>
    </row>
    <row r="50" spans="1:11" x14ac:dyDescent="0.35">
      <c r="A50" s="4" t="s">
        <v>111</v>
      </c>
      <c r="B50" s="4" t="s">
        <v>111</v>
      </c>
      <c r="C50" s="4" t="s">
        <v>111</v>
      </c>
      <c r="D50" s="4" t="s">
        <v>111</v>
      </c>
      <c r="E50" s="4" t="s">
        <v>78</v>
      </c>
      <c r="F50" s="4" t="s">
        <v>111</v>
      </c>
      <c r="G50" s="4" t="s">
        <v>111</v>
      </c>
      <c r="H50" s="4">
        <v>300000</v>
      </c>
      <c r="I50" s="4">
        <v>78000</v>
      </c>
      <c r="J50" s="4">
        <v>0</v>
      </c>
      <c r="K50" s="4">
        <v>222000</v>
      </c>
    </row>
    <row r="51" spans="1:11" ht="15" thickBot="1" x14ac:dyDescent="0.4">
      <c r="A51" s="1" t="s">
        <v>152</v>
      </c>
      <c r="B51" s="1" t="s">
        <v>153</v>
      </c>
      <c r="C51" s="1" t="s">
        <v>89</v>
      </c>
      <c r="D51" s="1" t="s">
        <v>154</v>
      </c>
      <c r="E51" s="1" t="s">
        <v>397</v>
      </c>
      <c r="F51" s="1" t="s">
        <v>117</v>
      </c>
      <c r="G51" s="1" t="s">
        <v>325</v>
      </c>
      <c r="H51" s="1">
        <v>318000</v>
      </c>
      <c r="I51" s="1">
        <v>261000</v>
      </c>
      <c r="J51" s="1">
        <v>0</v>
      </c>
      <c r="K51" s="1">
        <v>57000</v>
      </c>
    </row>
    <row r="52" spans="1:11" x14ac:dyDescent="0.35">
      <c r="A52" s="4" t="s">
        <v>111</v>
      </c>
      <c r="B52" s="4" t="s">
        <v>111</v>
      </c>
      <c r="C52" s="4" t="s">
        <v>111</v>
      </c>
      <c r="D52" s="4" t="s">
        <v>111</v>
      </c>
      <c r="E52" s="4" t="s">
        <v>78</v>
      </c>
      <c r="F52" s="4" t="s">
        <v>111</v>
      </c>
      <c r="G52" s="4" t="s">
        <v>111</v>
      </c>
      <c r="H52" s="4">
        <v>318000</v>
      </c>
      <c r="I52" s="4">
        <v>261000</v>
      </c>
      <c r="J52" s="4">
        <v>0</v>
      </c>
      <c r="K52" s="4">
        <v>57000</v>
      </c>
    </row>
    <row r="53" spans="1:11" ht="15" thickBot="1" x14ac:dyDescent="0.4">
      <c r="A53" s="1" t="s">
        <v>157</v>
      </c>
      <c r="B53" s="1" t="s">
        <v>158</v>
      </c>
      <c r="C53" s="1" t="s">
        <v>89</v>
      </c>
      <c r="D53" s="1" t="s">
        <v>154</v>
      </c>
      <c r="E53" s="1" t="s">
        <v>398</v>
      </c>
      <c r="F53" s="1" t="s">
        <v>117</v>
      </c>
      <c r="G53" s="1" t="s">
        <v>399</v>
      </c>
      <c r="H53" s="1">
        <v>27000</v>
      </c>
      <c r="I53" s="1">
        <v>7200</v>
      </c>
      <c r="J53" s="1">
        <v>0</v>
      </c>
      <c r="K53" s="1">
        <v>19800</v>
      </c>
    </row>
    <row r="54" spans="1:11" x14ac:dyDescent="0.35">
      <c r="A54" s="4" t="s">
        <v>111</v>
      </c>
      <c r="B54" s="4" t="s">
        <v>111</v>
      </c>
      <c r="C54" s="4" t="s">
        <v>111</v>
      </c>
      <c r="D54" s="4" t="s">
        <v>111</v>
      </c>
      <c r="E54" s="4" t="s">
        <v>78</v>
      </c>
      <c r="F54" s="4" t="s">
        <v>111</v>
      </c>
      <c r="G54" s="4" t="s">
        <v>111</v>
      </c>
      <c r="H54" s="4">
        <v>27000</v>
      </c>
      <c r="I54" s="4">
        <v>7200</v>
      </c>
      <c r="J54" s="4">
        <v>0</v>
      </c>
      <c r="K54" s="4">
        <v>19800</v>
      </c>
    </row>
    <row r="55" spans="1:11" x14ac:dyDescent="0.35">
      <c r="A55" s="1" t="s">
        <v>161</v>
      </c>
      <c r="B55" s="1" t="s">
        <v>162</v>
      </c>
      <c r="C55" s="1" t="s">
        <v>89</v>
      </c>
      <c r="D55" s="1" t="s">
        <v>111</v>
      </c>
      <c r="E55" s="1" t="s">
        <v>400</v>
      </c>
      <c r="F55" s="1" t="s">
        <v>117</v>
      </c>
      <c r="G55" s="1" t="s">
        <v>401</v>
      </c>
      <c r="H55" s="1">
        <v>15000</v>
      </c>
      <c r="I55" s="1">
        <v>0</v>
      </c>
      <c r="J55" s="1">
        <v>0</v>
      </c>
      <c r="K55" s="1">
        <v>15000</v>
      </c>
    </row>
    <row r="56" spans="1:11" ht="15" thickBot="1" x14ac:dyDescent="0.4">
      <c r="A56" s="1" t="s">
        <v>161</v>
      </c>
      <c r="B56" s="1" t="s">
        <v>162</v>
      </c>
      <c r="C56" s="1" t="s">
        <v>89</v>
      </c>
      <c r="D56" s="1" t="s">
        <v>111</v>
      </c>
      <c r="E56" s="1" t="s">
        <v>402</v>
      </c>
      <c r="F56" s="1" t="s">
        <v>117</v>
      </c>
      <c r="G56" s="1" t="s">
        <v>403</v>
      </c>
      <c r="H56" s="1">
        <v>9000</v>
      </c>
      <c r="I56" s="1">
        <v>0</v>
      </c>
      <c r="J56" s="1">
        <v>0</v>
      </c>
      <c r="K56" s="1">
        <v>9000</v>
      </c>
    </row>
    <row r="57" spans="1:11" x14ac:dyDescent="0.35">
      <c r="A57" s="4" t="s">
        <v>111</v>
      </c>
      <c r="B57" s="4" t="s">
        <v>111</v>
      </c>
      <c r="C57" s="4" t="s">
        <v>111</v>
      </c>
      <c r="D57" s="4" t="s">
        <v>111</v>
      </c>
      <c r="E57" s="4" t="s">
        <v>78</v>
      </c>
      <c r="F57" s="4" t="s">
        <v>111</v>
      </c>
      <c r="G57" s="4" t="s">
        <v>111</v>
      </c>
      <c r="H57" s="4">
        <v>24000</v>
      </c>
      <c r="I57" s="4">
        <v>0</v>
      </c>
      <c r="J57" s="4">
        <v>0</v>
      </c>
      <c r="K57" s="4">
        <v>24000</v>
      </c>
    </row>
    <row r="58" spans="1:11" x14ac:dyDescent="0.35">
      <c r="A58" s="1" t="s">
        <v>165</v>
      </c>
      <c r="B58" s="1" t="s">
        <v>166</v>
      </c>
      <c r="C58" s="1" t="s">
        <v>89</v>
      </c>
      <c r="D58" s="1" t="s">
        <v>154</v>
      </c>
      <c r="E58" s="1" t="s">
        <v>404</v>
      </c>
      <c r="F58" s="1" t="s">
        <v>117</v>
      </c>
      <c r="G58" s="1" t="s">
        <v>326</v>
      </c>
      <c r="H58" s="1">
        <v>141000</v>
      </c>
      <c r="I58" s="1">
        <v>99000</v>
      </c>
      <c r="J58" s="1">
        <v>0</v>
      </c>
      <c r="K58" s="1">
        <v>42000</v>
      </c>
    </row>
    <row r="59" spans="1:11" x14ac:dyDescent="0.35">
      <c r="A59" s="1" t="s">
        <v>165</v>
      </c>
      <c r="B59" s="1" t="s">
        <v>166</v>
      </c>
      <c r="C59" s="1" t="s">
        <v>89</v>
      </c>
      <c r="D59" s="1" t="s">
        <v>154</v>
      </c>
      <c r="E59" s="1" t="s">
        <v>405</v>
      </c>
      <c r="F59" s="1" t="s">
        <v>117</v>
      </c>
      <c r="G59" s="1" t="s">
        <v>28</v>
      </c>
      <c r="H59" s="1">
        <v>108000</v>
      </c>
      <c r="I59" s="1">
        <v>0</v>
      </c>
      <c r="J59" s="1">
        <v>0</v>
      </c>
      <c r="K59" s="1">
        <v>108000</v>
      </c>
    </row>
    <row r="60" spans="1:11" x14ac:dyDescent="0.35">
      <c r="A60" s="1" t="s">
        <v>165</v>
      </c>
      <c r="B60" s="1" t="s">
        <v>166</v>
      </c>
      <c r="C60" s="1" t="s">
        <v>89</v>
      </c>
      <c r="D60" s="1" t="s">
        <v>154</v>
      </c>
      <c r="E60" s="1" t="s">
        <v>406</v>
      </c>
      <c r="F60" s="1" t="s">
        <v>117</v>
      </c>
      <c r="G60" s="1" t="s">
        <v>32</v>
      </c>
      <c r="H60" s="1">
        <v>114000</v>
      </c>
      <c r="I60" s="1">
        <v>0</v>
      </c>
      <c r="J60" s="1">
        <v>0</v>
      </c>
      <c r="K60" s="1">
        <v>114000</v>
      </c>
    </row>
    <row r="61" spans="1:11" ht="15" thickBot="1" x14ac:dyDescent="0.4">
      <c r="A61" s="1" t="s">
        <v>165</v>
      </c>
      <c r="B61" s="1" t="s">
        <v>166</v>
      </c>
      <c r="C61" s="1" t="s">
        <v>89</v>
      </c>
      <c r="D61" s="1" t="s">
        <v>154</v>
      </c>
      <c r="E61" s="1" t="s">
        <v>407</v>
      </c>
      <c r="F61" s="1" t="s">
        <v>117</v>
      </c>
      <c r="G61" s="1" t="s">
        <v>391</v>
      </c>
      <c r="H61" s="1">
        <v>6000</v>
      </c>
      <c r="I61" s="1">
        <v>0</v>
      </c>
      <c r="J61" s="1">
        <v>0</v>
      </c>
      <c r="K61" s="1">
        <v>6000</v>
      </c>
    </row>
    <row r="62" spans="1:11" x14ac:dyDescent="0.35">
      <c r="A62" s="4" t="s">
        <v>111</v>
      </c>
      <c r="B62" s="4" t="s">
        <v>111</v>
      </c>
      <c r="C62" s="4" t="s">
        <v>111</v>
      </c>
      <c r="D62" s="4" t="s">
        <v>111</v>
      </c>
      <c r="E62" s="4" t="s">
        <v>78</v>
      </c>
      <c r="F62" s="4" t="s">
        <v>111</v>
      </c>
      <c r="G62" s="4" t="s">
        <v>111</v>
      </c>
      <c r="H62" s="4">
        <v>369000</v>
      </c>
      <c r="I62" s="4">
        <v>99000</v>
      </c>
      <c r="J62" s="4">
        <v>0</v>
      </c>
      <c r="K62" s="4">
        <v>270000</v>
      </c>
    </row>
    <row r="63" spans="1:11" ht="15" thickBot="1" x14ac:dyDescent="0.4">
      <c r="A63" s="1" t="s">
        <v>169</v>
      </c>
      <c r="B63" s="1" t="s">
        <v>170</v>
      </c>
      <c r="C63" s="1" t="s">
        <v>89</v>
      </c>
      <c r="D63" s="1" t="s">
        <v>154</v>
      </c>
      <c r="E63" s="1" t="s">
        <v>408</v>
      </c>
      <c r="F63" s="1" t="s">
        <v>117</v>
      </c>
      <c r="G63" s="1" t="s">
        <v>409</v>
      </c>
      <c r="H63" s="1">
        <v>75000</v>
      </c>
      <c r="I63" s="1">
        <v>63000</v>
      </c>
      <c r="J63" s="1">
        <v>0</v>
      </c>
      <c r="K63" s="1">
        <v>12000</v>
      </c>
    </row>
    <row r="64" spans="1:11" x14ac:dyDescent="0.35">
      <c r="A64" s="4" t="s">
        <v>111</v>
      </c>
      <c r="B64" s="4" t="s">
        <v>111</v>
      </c>
      <c r="C64" s="4" t="s">
        <v>111</v>
      </c>
      <c r="D64" s="4" t="s">
        <v>111</v>
      </c>
      <c r="E64" s="4" t="s">
        <v>78</v>
      </c>
      <c r="F64" s="4" t="s">
        <v>111</v>
      </c>
      <c r="G64" s="4" t="s">
        <v>111</v>
      </c>
      <c r="H64" s="4">
        <v>75000</v>
      </c>
      <c r="I64" s="4">
        <v>63000</v>
      </c>
      <c r="J64" s="4">
        <v>0</v>
      </c>
      <c r="K64" s="4">
        <v>12000</v>
      </c>
    </row>
    <row r="65" spans="1:11" x14ac:dyDescent="0.35">
      <c r="A65" s="1" t="s">
        <v>173</v>
      </c>
      <c r="B65" s="1" t="s">
        <v>174</v>
      </c>
      <c r="C65" s="1" t="s">
        <v>89</v>
      </c>
      <c r="D65" s="1" t="s">
        <v>154</v>
      </c>
      <c r="E65" s="1" t="s">
        <v>410</v>
      </c>
      <c r="F65" s="1" t="s">
        <v>117</v>
      </c>
      <c r="G65" s="1" t="s">
        <v>411</v>
      </c>
      <c r="H65" s="1">
        <v>1800</v>
      </c>
      <c r="I65" s="1">
        <v>0</v>
      </c>
      <c r="J65" s="1">
        <v>0</v>
      </c>
      <c r="K65" s="1">
        <v>1800</v>
      </c>
    </row>
    <row r="66" spans="1:11" ht="15" thickBot="1" x14ac:dyDescent="0.4">
      <c r="A66" s="1" t="s">
        <v>173</v>
      </c>
      <c r="B66" s="1" t="s">
        <v>174</v>
      </c>
      <c r="C66" s="1" t="s">
        <v>89</v>
      </c>
      <c r="D66" s="1" t="s">
        <v>154</v>
      </c>
      <c r="E66" s="1" t="s">
        <v>412</v>
      </c>
      <c r="F66" s="1" t="s">
        <v>117</v>
      </c>
      <c r="G66" s="1" t="s">
        <v>411</v>
      </c>
      <c r="H66" s="1">
        <v>1800</v>
      </c>
      <c r="I66" s="1">
        <v>0</v>
      </c>
      <c r="J66" s="1">
        <v>0</v>
      </c>
      <c r="K66" s="1">
        <v>1800</v>
      </c>
    </row>
    <row r="67" spans="1:11" x14ac:dyDescent="0.35">
      <c r="A67" s="4" t="s">
        <v>111</v>
      </c>
      <c r="B67" s="4" t="s">
        <v>111</v>
      </c>
      <c r="C67" s="4" t="s">
        <v>111</v>
      </c>
      <c r="D67" s="4" t="s">
        <v>111</v>
      </c>
      <c r="E67" s="4" t="s">
        <v>78</v>
      </c>
      <c r="F67" s="4" t="s">
        <v>111</v>
      </c>
      <c r="G67" s="4" t="s">
        <v>111</v>
      </c>
      <c r="H67" s="4">
        <v>3600</v>
      </c>
      <c r="I67" s="4">
        <v>0</v>
      </c>
      <c r="J67" s="4">
        <v>0</v>
      </c>
      <c r="K67" s="4">
        <v>3600</v>
      </c>
    </row>
    <row r="68" spans="1:11" x14ac:dyDescent="0.35">
      <c r="A68" s="1" t="s">
        <v>177</v>
      </c>
      <c r="B68" s="1" t="s">
        <v>178</v>
      </c>
      <c r="C68" s="1" t="s">
        <v>89</v>
      </c>
      <c r="D68" s="1" t="s">
        <v>179</v>
      </c>
      <c r="E68" s="1" t="s">
        <v>413</v>
      </c>
      <c r="F68" s="1" t="s">
        <v>117</v>
      </c>
      <c r="G68" s="1" t="s">
        <v>414</v>
      </c>
      <c r="H68" s="1">
        <v>3000</v>
      </c>
      <c r="I68" s="1">
        <v>0</v>
      </c>
      <c r="J68" s="1">
        <v>0</v>
      </c>
      <c r="K68" s="1">
        <v>3000</v>
      </c>
    </row>
    <row r="69" spans="1:11" x14ac:dyDescent="0.35">
      <c r="A69" s="1" t="s">
        <v>177</v>
      </c>
      <c r="B69" s="1" t="s">
        <v>178</v>
      </c>
      <c r="C69" s="1" t="s">
        <v>89</v>
      </c>
      <c r="D69" s="1" t="s">
        <v>179</v>
      </c>
      <c r="E69" s="1" t="s">
        <v>415</v>
      </c>
      <c r="F69" s="1" t="s">
        <v>117</v>
      </c>
      <c r="G69" s="1" t="s">
        <v>416</v>
      </c>
      <c r="H69" s="1">
        <v>6000</v>
      </c>
      <c r="I69" s="1">
        <v>0</v>
      </c>
      <c r="J69" s="1">
        <v>0</v>
      </c>
      <c r="K69" s="1">
        <v>6000</v>
      </c>
    </row>
    <row r="70" spans="1:11" ht="15" thickBot="1" x14ac:dyDescent="0.4">
      <c r="A70" s="1" t="s">
        <v>177</v>
      </c>
      <c r="B70" s="1" t="s">
        <v>178</v>
      </c>
      <c r="C70" s="1" t="s">
        <v>89</v>
      </c>
      <c r="D70" s="1" t="s">
        <v>179</v>
      </c>
      <c r="E70" s="1" t="s">
        <v>417</v>
      </c>
      <c r="F70" s="1" t="s">
        <v>117</v>
      </c>
      <c r="G70" s="1" t="s">
        <v>44</v>
      </c>
      <c r="H70" s="1">
        <v>3000</v>
      </c>
      <c r="I70" s="1">
        <v>0</v>
      </c>
      <c r="J70" s="1">
        <v>0</v>
      </c>
      <c r="K70" s="1">
        <v>3000</v>
      </c>
    </row>
    <row r="71" spans="1:11" x14ac:dyDescent="0.35">
      <c r="A71" s="4" t="s">
        <v>111</v>
      </c>
      <c r="B71" s="4" t="s">
        <v>111</v>
      </c>
      <c r="C71" s="4" t="s">
        <v>111</v>
      </c>
      <c r="D71" s="4" t="s">
        <v>111</v>
      </c>
      <c r="E71" s="4" t="s">
        <v>78</v>
      </c>
      <c r="F71" s="4" t="s">
        <v>111</v>
      </c>
      <c r="G71" s="4" t="s">
        <v>111</v>
      </c>
      <c r="H71" s="4">
        <v>12000</v>
      </c>
      <c r="I71" s="4">
        <v>0</v>
      </c>
      <c r="J71" s="4">
        <v>0</v>
      </c>
      <c r="K71" s="4">
        <v>12000</v>
      </c>
    </row>
    <row r="72" spans="1:11" x14ac:dyDescent="0.35">
      <c r="A72" s="1" t="s">
        <v>418</v>
      </c>
      <c r="B72" s="1" t="s">
        <v>419</v>
      </c>
      <c r="C72" s="1" t="s">
        <v>89</v>
      </c>
      <c r="D72" s="1" t="s">
        <v>179</v>
      </c>
      <c r="E72" s="1" t="s">
        <v>420</v>
      </c>
      <c r="F72" s="1" t="s">
        <v>117</v>
      </c>
      <c r="G72" s="1" t="s">
        <v>421</v>
      </c>
      <c r="H72" s="1">
        <v>30600</v>
      </c>
      <c r="I72" s="1">
        <v>9000</v>
      </c>
      <c r="J72" s="1">
        <v>0</v>
      </c>
      <c r="K72" s="1">
        <v>21600</v>
      </c>
    </row>
    <row r="73" spans="1:11" ht="15" thickBot="1" x14ac:dyDescent="0.4">
      <c r="A73" s="1" t="s">
        <v>418</v>
      </c>
      <c r="B73" s="1" t="s">
        <v>419</v>
      </c>
      <c r="C73" s="1" t="s">
        <v>89</v>
      </c>
      <c r="D73" s="1" t="s">
        <v>179</v>
      </c>
      <c r="E73" s="1" t="s">
        <v>422</v>
      </c>
      <c r="F73" s="1" t="s">
        <v>117</v>
      </c>
      <c r="G73" s="1" t="s">
        <v>423</v>
      </c>
      <c r="H73" s="1">
        <v>28800</v>
      </c>
      <c r="I73" s="1">
        <v>0</v>
      </c>
      <c r="J73" s="1">
        <v>0</v>
      </c>
      <c r="K73" s="1">
        <v>28800</v>
      </c>
    </row>
    <row r="74" spans="1:11" x14ac:dyDescent="0.35">
      <c r="A74" s="4" t="s">
        <v>111</v>
      </c>
      <c r="B74" s="4" t="s">
        <v>111</v>
      </c>
      <c r="C74" s="4" t="s">
        <v>111</v>
      </c>
      <c r="D74" s="4" t="s">
        <v>111</v>
      </c>
      <c r="E74" s="4" t="s">
        <v>78</v>
      </c>
      <c r="F74" s="4" t="s">
        <v>111</v>
      </c>
      <c r="G74" s="4" t="s">
        <v>111</v>
      </c>
      <c r="H74" s="4">
        <v>59400</v>
      </c>
      <c r="I74" s="4">
        <v>9000</v>
      </c>
      <c r="J74" s="4">
        <v>0</v>
      </c>
      <c r="K74" s="4">
        <v>50400</v>
      </c>
    </row>
    <row r="75" spans="1:11" x14ac:dyDescent="0.35">
      <c r="A75" s="1" t="s">
        <v>182</v>
      </c>
      <c r="B75" s="1" t="s">
        <v>183</v>
      </c>
      <c r="C75" s="1" t="s">
        <v>89</v>
      </c>
      <c r="D75" s="1" t="s">
        <v>184</v>
      </c>
      <c r="E75" s="1" t="s">
        <v>424</v>
      </c>
      <c r="F75" s="1" t="s">
        <v>117</v>
      </c>
      <c r="G75" s="1" t="s">
        <v>355</v>
      </c>
      <c r="H75" s="1">
        <v>6000</v>
      </c>
      <c r="I75" s="1">
        <v>0</v>
      </c>
      <c r="J75" s="1">
        <v>0</v>
      </c>
      <c r="K75" s="1">
        <v>6000</v>
      </c>
    </row>
    <row r="76" spans="1:11" ht="15" thickBot="1" x14ac:dyDescent="0.4">
      <c r="A76" s="1" t="s">
        <v>182</v>
      </c>
      <c r="B76" s="1" t="s">
        <v>183</v>
      </c>
      <c r="C76" s="1" t="s">
        <v>89</v>
      </c>
      <c r="D76" s="1" t="s">
        <v>184</v>
      </c>
      <c r="E76" s="1" t="s">
        <v>425</v>
      </c>
      <c r="F76" s="1" t="s">
        <v>117</v>
      </c>
      <c r="G76" s="1" t="s">
        <v>368</v>
      </c>
      <c r="H76" s="1">
        <v>3000</v>
      </c>
      <c r="I76" s="1">
        <v>0</v>
      </c>
      <c r="J76" s="1">
        <v>0</v>
      </c>
      <c r="K76" s="1">
        <v>3000</v>
      </c>
    </row>
    <row r="77" spans="1:11" x14ac:dyDescent="0.35">
      <c r="A77" s="4" t="s">
        <v>111</v>
      </c>
      <c r="B77" s="4" t="s">
        <v>111</v>
      </c>
      <c r="C77" s="4" t="s">
        <v>111</v>
      </c>
      <c r="D77" s="4" t="s">
        <v>111</v>
      </c>
      <c r="E77" s="4" t="s">
        <v>78</v>
      </c>
      <c r="F77" s="4" t="s">
        <v>111</v>
      </c>
      <c r="G77" s="4" t="s">
        <v>111</v>
      </c>
      <c r="H77" s="4">
        <v>9000</v>
      </c>
      <c r="I77" s="4">
        <v>0</v>
      </c>
      <c r="J77" s="4">
        <v>0</v>
      </c>
      <c r="K77" s="4">
        <v>9000</v>
      </c>
    </row>
    <row r="78" spans="1:11" x14ac:dyDescent="0.35">
      <c r="A78" s="1" t="s">
        <v>426</v>
      </c>
      <c r="B78" s="1" t="s">
        <v>427</v>
      </c>
      <c r="C78" s="1" t="s">
        <v>89</v>
      </c>
      <c r="D78" s="1" t="s">
        <v>111</v>
      </c>
      <c r="E78" s="1" t="s">
        <v>428</v>
      </c>
      <c r="F78" s="1" t="s">
        <v>117</v>
      </c>
      <c r="G78" s="1" t="s">
        <v>399</v>
      </c>
      <c r="H78" s="1">
        <v>5000</v>
      </c>
      <c r="I78" s="1">
        <v>0</v>
      </c>
      <c r="J78" s="1">
        <v>0</v>
      </c>
      <c r="K78" s="1">
        <v>5000</v>
      </c>
    </row>
    <row r="79" spans="1:11" x14ac:dyDescent="0.35">
      <c r="A79" s="1" t="s">
        <v>426</v>
      </c>
      <c r="B79" s="1" t="s">
        <v>427</v>
      </c>
      <c r="C79" s="1" t="s">
        <v>89</v>
      </c>
      <c r="D79" s="1" t="s">
        <v>111</v>
      </c>
      <c r="E79" s="1" t="s">
        <v>429</v>
      </c>
      <c r="F79" s="1" t="s">
        <v>117</v>
      </c>
      <c r="G79" s="1" t="s">
        <v>399</v>
      </c>
      <c r="H79" s="1">
        <v>10000</v>
      </c>
      <c r="I79" s="1">
        <v>0</v>
      </c>
      <c r="J79" s="1">
        <v>0</v>
      </c>
      <c r="K79" s="1">
        <v>10000</v>
      </c>
    </row>
    <row r="80" spans="1:11" x14ac:dyDescent="0.35">
      <c r="A80" s="1" t="s">
        <v>426</v>
      </c>
      <c r="B80" s="1" t="s">
        <v>427</v>
      </c>
      <c r="C80" s="1" t="s">
        <v>89</v>
      </c>
      <c r="D80" s="1" t="s">
        <v>111</v>
      </c>
      <c r="E80" s="1" t="s">
        <v>430</v>
      </c>
      <c r="F80" s="1" t="s">
        <v>117</v>
      </c>
      <c r="G80" s="1" t="s">
        <v>399</v>
      </c>
      <c r="H80" s="1">
        <v>10000</v>
      </c>
      <c r="I80" s="1">
        <v>0</v>
      </c>
      <c r="J80" s="1">
        <v>0</v>
      </c>
      <c r="K80" s="1">
        <v>10000</v>
      </c>
    </row>
    <row r="81" spans="1:11" x14ac:dyDescent="0.35">
      <c r="A81" s="1" t="s">
        <v>426</v>
      </c>
      <c r="B81" s="1" t="s">
        <v>427</v>
      </c>
      <c r="C81" s="1" t="s">
        <v>89</v>
      </c>
      <c r="D81" s="1" t="s">
        <v>111</v>
      </c>
      <c r="E81" s="1" t="s">
        <v>431</v>
      </c>
      <c r="F81" s="1" t="s">
        <v>117</v>
      </c>
      <c r="G81" s="1" t="s">
        <v>399</v>
      </c>
      <c r="H81" s="1">
        <v>5000</v>
      </c>
      <c r="I81" s="1">
        <v>0</v>
      </c>
      <c r="J81" s="1">
        <v>0</v>
      </c>
      <c r="K81" s="1">
        <v>5000</v>
      </c>
    </row>
    <row r="82" spans="1:11" ht="15" thickBot="1" x14ac:dyDescent="0.4">
      <c r="A82" s="1" t="s">
        <v>426</v>
      </c>
      <c r="B82" s="1" t="s">
        <v>427</v>
      </c>
      <c r="C82" s="1" t="s">
        <v>89</v>
      </c>
      <c r="D82" s="1" t="s">
        <v>111</v>
      </c>
      <c r="E82" s="1" t="s">
        <v>432</v>
      </c>
      <c r="F82" s="1" t="s">
        <v>117</v>
      </c>
      <c r="G82" s="1" t="s">
        <v>26</v>
      </c>
      <c r="H82" s="1">
        <v>5000</v>
      </c>
      <c r="I82" s="1">
        <v>0</v>
      </c>
      <c r="J82" s="1">
        <v>0</v>
      </c>
      <c r="K82" s="1">
        <v>5000</v>
      </c>
    </row>
    <row r="83" spans="1:11" x14ac:dyDescent="0.35">
      <c r="A83" s="4" t="s">
        <v>111</v>
      </c>
      <c r="B83" s="4" t="s">
        <v>111</v>
      </c>
      <c r="C83" s="4" t="s">
        <v>111</v>
      </c>
      <c r="D83" s="4" t="s">
        <v>111</v>
      </c>
      <c r="E83" s="4" t="s">
        <v>78</v>
      </c>
      <c r="F83" s="4" t="s">
        <v>111</v>
      </c>
      <c r="G83" s="4" t="s">
        <v>111</v>
      </c>
      <c r="H83" s="4">
        <v>35000</v>
      </c>
      <c r="I83" s="4">
        <v>0</v>
      </c>
      <c r="J83" s="4">
        <v>0</v>
      </c>
      <c r="K83" s="4">
        <v>35000</v>
      </c>
    </row>
    <row r="84" spans="1:11" x14ac:dyDescent="0.35">
      <c r="A84" s="1" t="s">
        <v>187</v>
      </c>
      <c r="B84" s="1" t="s">
        <v>188</v>
      </c>
      <c r="C84" s="1" t="s">
        <v>89</v>
      </c>
      <c r="D84" s="1" t="s">
        <v>98</v>
      </c>
      <c r="E84" s="1" t="s">
        <v>433</v>
      </c>
      <c r="F84" s="1" t="s">
        <v>117</v>
      </c>
      <c r="G84" s="1" t="s">
        <v>434</v>
      </c>
      <c r="H84" s="1">
        <v>75000</v>
      </c>
      <c r="I84" s="1">
        <v>15000</v>
      </c>
      <c r="J84" s="1">
        <v>0</v>
      </c>
      <c r="K84" s="1">
        <v>60000</v>
      </c>
    </row>
    <row r="85" spans="1:11" x14ac:dyDescent="0.35">
      <c r="A85" s="1" t="s">
        <v>187</v>
      </c>
      <c r="B85" s="1" t="s">
        <v>188</v>
      </c>
      <c r="C85" s="1" t="s">
        <v>89</v>
      </c>
      <c r="D85" s="1" t="s">
        <v>98</v>
      </c>
      <c r="E85" s="1" t="s">
        <v>435</v>
      </c>
      <c r="F85" s="1" t="s">
        <v>117</v>
      </c>
      <c r="G85" s="1" t="s">
        <v>436</v>
      </c>
      <c r="H85" s="1">
        <v>105000</v>
      </c>
      <c r="I85" s="1">
        <v>100000</v>
      </c>
      <c r="J85" s="1">
        <v>0</v>
      </c>
      <c r="K85" s="1">
        <v>5000</v>
      </c>
    </row>
    <row r="86" spans="1:11" x14ac:dyDescent="0.35">
      <c r="A86" s="1" t="s">
        <v>187</v>
      </c>
      <c r="B86" s="1" t="s">
        <v>188</v>
      </c>
      <c r="C86" s="1" t="s">
        <v>89</v>
      </c>
      <c r="D86" s="1" t="s">
        <v>98</v>
      </c>
      <c r="E86" s="1" t="s">
        <v>437</v>
      </c>
      <c r="F86" s="1" t="s">
        <v>117</v>
      </c>
      <c r="G86" s="1" t="s">
        <v>357</v>
      </c>
      <c r="H86" s="1">
        <v>200000</v>
      </c>
      <c r="I86" s="1">
        <v>0</v>
      </c>
      <c r="J86" s="1">
        <v>0</v>
      </c>
      <c r="K86" s="1">
        <v>200000</v>
      </c>
    </row>
    <row r="87" spans="1:11" x14ac:dyDescent="0.35">
      <c r="A87" s="1" t="s">
        <v>187</v>
      </c>
      <c r="B87" s="1" t="s">
        <v>188</v>
      </c>
      <c r="C87" s="1" t="s">
        <v>89</v>
      </c>
      <c r="D87" s="1" t="s">
        <v>98</v>
      </c>
      <c r="E87" s="1" t="s">
        <v>438</v>
      </c>
      <c r="F87" s="1" t="s">
        <v>117</v>
      </c>
      <c r="G87" s="1" t="s">
        <v>357</v>
      </c>
      <c r="H87" s="1">
        <v>190000</v>
      </c>
      <c r="I87" s="1">
        <v>0</v>
      </c>
      <c r="J87" s="1">
        <v>0</v>
      </c>
      <c r="K87" s="1">
        <v>190000</v>
      </c>
    </row>
    <row r="88" spans="1:11" x14ac:dyDescent="0.35">
      <c r="A88" s="1" t="s">
        <v>187</v>
      </c>
      <c r="B88" s="1" t="s">
        <v>188</v>
      </c>
      <c r="C88" s="1" t="s">
        <v>89</v>
      </c>
      <c r="D88" s="1" t="s">
        <v>98</v>
      </c>
      <c r="E88" s="1" t="s">
        <v>439</v>
      </c>
      <c r="F88" s="1" t="s">
        <v>117</v>
      </c>
      <c r="G88" s="1" t="s">
        <v>399</v>
      </c>
      <c r="H88" s="1">
        <v>145000</v>
      </c>
      <c r="I88" s="1">
        <v>0</v>
      </c>
      <c r="J88" s="1">
        <v>0</v>
      </c>
      <c r="K88" s="1">
        <v>145000</v>
      </c>
    </row>
    <row r="89" spans="1:11" ht="15" thickBot="1" x14ac:dyDescent="0.4">
      <c r="A89" s="1" t="s">
        <v>187</v>
      </c>
      <c r="B89" s="1" t="s">
        <v>188</v>
      </c>
      <c r="C89" s="1" t="s">
        <v>89</v>
      </c>
      <c r="D89" s="1" t="s">
        <v>98</v>
      </c>
      <c r="E89" s="1" t="s">
        <v>440</v>
      </c>
      <c r="F89" s="1" t="s">
        <v>117</v>
      </c>
      <c r="G89" s="1" t="s">
        <v>32</v>
      </c>
      <c r="H89" s="1">
        <v>40000</v>
      </c>
      <c r="I89" s="1">
        <v>0</v>
      </c>
      <c r="J89" s="1">
        <v>0</v>
      </c>
      <c r="K89" s="1">
        <v>40000</v>
      </c>
    </row>
    <row r="90" spans="1:11" x14ac:dyDescent="0.35">
      <c r="A90" s="4" t="s">
        <v>111</v>
      </c>
      <c r="B90" s="4" t="s">
        <v>111</v>
      </c>
      <c r="C90" s="4" t="s">
        <v>111</v>
      </c>
      <c r="D90" s="4" t="s">
        <v>111</v>
      </c>
      <c r="E90" s="4" t="s">
        <v>78</v>
      </c>
      <c r="F90" s="4" t="s">
        <v>111</v>
      </c>
      <c r="G90" s="4" t="s">
        <v>111</v>
      </c>
      <c r="H90" s="4">
        <v>755000</v>
      </c>
      <c r="I90" s="4">
        <v>115000</v>
      </c>
      <c r="J90" s="4">
        <v>0</v>
      </c>
      <c r="K90" s="4">
        <v>640000</v>
      </c>
    </row>
    <row r="91" spans="1:11" ht="15" thickBot="1" x14ac:dyDescent="0.4">
      <c r="A91" s="1" t="s">
        <v>191</v>
      </c>
      <c r="B91" s="1" t="s">
        <v>192</v>
      </c>
      <c r="C91" s="1" t="s">
        <v>89</v>
      </c>
      <c r="D91" s="1" t="s">
        <v>179</v>
      </c>
      <c r="E91" s="1" t="s">
        <v>441</v>
      </c>
      <c r="F91" s="1" t="s">
        <v>117</v>
      </c>
      <c r="G91" s="1" t="s">
        <v>36</v>
      </c>
      <c r="H91" s="1">
        <v>3000</v>
      </c>
      <c r="I91" s="1">
        <v>0</v>
      </c>
      <c r="J91" s="1">
        <v>0</v>
      </c>
      <c r="K91" s="1">
        <v>3000</v>
      </c>
    </row>
    <row r="92" spans="1:11" x14ac:dyDescent="0.35">
      <c r="A92" s="4" t="s">
        <v>111</v>
      </c>
      <c r="B92" s="4" t="s">
        <v>111</v>
      </c>
      <c r="C92" s="4" t="s">
        <v>111</v>
      </c>
      <c r="D92" s="4" t="s">
        <v>111</v>
      </c>
      <c r="E92" s="4" t="s">
        <v>78</v>
      </c>
      <c r="F92" s="4" t="s">
        <v>111</v>
      </c>
      <c r="G92" s="4" t="s">
        <v>111</v>
      </c>
      <c r="H92" s="4">
        <v>3000</v>
      </c>
      <c r="I92" s="4">
        <v>0</v>
      </c>
      <c r="J92" s="4">
        <v>0</v>
      </c>
      <c r="K92" s="4">
        <v>3000</v>
      </c>
    </row>
    <row r="93" spans="1:11" x14ac:dyDescent="0.35">
      <c r="A93" s="1" t="s">
        <v>195</v>
      </c>
      <c r="B93" s="1" t="s">
        <v>196</v>
      </c>
      <c r="C93" s="1" t="s">
        <v>89</v>
      </c>
      <c r="D93" s="1" t="s">
        <v>197</v>
      </c>
      <c r="E93" s="1" t="s">
        <v>442</v>
      </c>
      <c r="F93" s="1" t="s">
        <v>117</v>
      </c>
      <c r="G93" s="1" t="s">
        <v>434</v>
      </c>
      <c r="H93" s="1">
        <v>60000</v>
      </c>
      <c r="I93" s="1">
        <v>0</v>
      </c>
      <c r="J93" s="1">
        <v>0</v>
      </c>
      <c r="K93" s="1">
        <v>60000</v>
      </c>
    </row>
    <row r="94" spans="1:11" x14ac:dyDescent="0.35">
      <c r="A94" s="1" t="s">
        <v>195</v>
      </c>
      <c r="B94" s="1" t="s">
        <v>196</v>
      </c>
      <c r="C94" s="1" t="s">
        <v>89</v>
      </c>
      <c r="D94" s="1" t="s">
        <v>197</v>
      </c>
      <c r="E94" s="1" t="s">
        <v>443</v>
      </c>
      <c r="F94" s="1" t="s">
        <v>117</v>
      </c>
      <c r="G94" s="1" t="s">
        <v>326</v>
      </c>
      <c r="H94" s="1">
        <v>15000</v>
      </c>
      <c r="I94" s="1">
        <v>0</v>
      </c>
      <c r="J94" s="1">
        <v>0</v>
      </c>
      <c r="K94" s="1">
        <v>15000</v>
      </c>
    </row>
    <row r="95" spans="1:11" x14ac:dyDescent="0.35">
      <c r="A95" s="1" t="s">
        <v>195</v>
      </c>
      <c r="B95" s="1" t="s">
        <v>196</v>
      </c>
      <c r="C95" s="1" t="s">
        <v>89</v>
      </c>
      <c r="D95" s="1" t="s">
        <v>197</v>
      </c>
      <c r="E95" s="1" t="s">
        <v>444</v>
      </c>
      <c r="F95" s="1" t="s">
        <v>117</v>
      </c>
      <c r="G95" s="1" t="s">
        <v>32</v>
      </c>
      <c r="H95" s="1">
        <v>30000</v>
      </c>
      <c r="I95" s="1">
        <v>0</v>
      </c>
      <c r="J95" s="1">
        <v>0</v>
      </c>
      <c r="K95" s="1">
        <v>30000</v>
      </c>
    </row>
    <row r="96" spans="1:11" ht="15" thickBot="1" x14ac:dyDescent="0.4">
      <c r="A96" s="1" t="s">
        <v>195</v>
      </c>
      <c r="B96" s="1" t="s">
        <v>196</v>
      </c>
      <c r="C96" s="1" t="s">
        <v>89</v>
      </c>
      <c r="D96" s="1" t="s">
        <v>197</v>
      </c>
      <c r="E96" s="1" t="s">
        <v>445</v>
      </c>
      <c r="F96" s="1" t="s">
        <v>117</v>
      </c>
      <c r="G96" s="1" t="s">
        <v>446</v>
      </c>
      <c r="H96" s="1">
        <v>30000</v>
      </c>
      <c r="I96" s="1">
        <v>0</v>
      </c>
      <c r="J96" s="1">
        <v>0</v>
      </c>
      <c r="K96" s="1">
        <v>30000</v>
      </c>
    </row>
    <row r="97" spans="1:11" x14ac:dyDescent="0.35">
      <c r="A97" s="4" t="s">
        <v>111</v>
      </c>
      <c r="B97" s="4" t="s">
        <v>111</v>
      </c>
      <c r="C97" s="4" t="s">
        <v>111</v>
      </c>
      <c r="D97" s="4" t="s">
        <v>111</v>
      </c>
      <c r="E97" s="4" t="s">
        <v>78</v>
      </c>
      <c r="F97" s="4" t="s">
        <v>111</v>
      </c>
      <c r="G97" s="4" t="s">
        <v>111</v>
      </c>
      <c r="H97" s="4">
        <v>135000</v>
      </c>
      <c r="I97" s="4">
        <v>0</v>
      </c>
      <c r="J97" s="4">
        <v>0</v>
      </c>
      <c r="K97" s="4">
        <v>135000</v>
      </c>
    </row>
    <row r="98" spans="1:11" ht="15" thickBot="1" x14ac:dyDescent="0.4">
      <c r="A98" s="1" t="s">
        <v>200</v>
      </c>
      <c r="B98" s="1" t="s">
        <v>201</v>
      </c>
      <c r="C98" s="1" t="s">
        <v>89</v>
      </c>
      <c r="D98" s="1" t="s">
        <v>111</v>
      </c>
      <c r="E98" s="1" t="s">
        <v>447</v>
      </c>
      <c r="F98" s="1" t="s">
        <v>117</v>
      </c>
      <c r="G98" s="1" t="s">
        <v>448</v>
      </c>
      <c r="H98" s="1">
        <v>10000</v>
      </c>
      <c r="I98" s="1">
        <v>5000</v>
      </c>
      <c r="J98" s="1">
        <v>0</v>
      </c>
      <c r="K98" s="1">
        <v>5000</v>
      </c>
    </row>
    <row r="99" spans="1:11" x14ac:dyDescent="0.35">
      <c r="A99" s="4" t="s">
        <v>111</v>
      </c>
      <c r="B99" s="4" t="s">
        <v>111</v>
      </c>
      <c r="C99" s="4" t="s">
        <v>111</v>
      </c>
      <c r="D99" s="4" t="s">
        <v>111</v>
      </c>
      <c r="E99" s="4" t="s">
        <v>78</v>
      </c>
      <c r="F99" s="4" t="s">
        <v>111</v>
      </c>
      <c r="G99" s="4" t="s">
        <v>111</v>
      </c>
      <c r="H99" s="4">
        <v>10000</v>
      </c>
      <c r="I99" s="4">
        <v>5000</v>
      </c>
      <c r="J99" s="4">
        <v>0</v>
      </c>
      <c r="K99" s="4">
        <v>5000</v>
      </c>
    </row>
    <row r="100" spans="1:11" x14ac:dyDescent="0.35">
      <c r="A100" s="1" t="s">
        <v>204</v>
      </c>
      <c r="B100" s="1" t="s">
        <v>205</v>
      </c>
      <c r="C100" s="1" t="s">
        <v>89</v>
      </c>
      <c r="D100" s="1" t="s">
        <v>179</v>
      </c>
      <c r="E100" s="1" t="s">
        <v>449</v>
      </c>
      <c r="F100" s="1" t="s">
        <v>117</v>
      </c>
      <c r="G100" s="1" t="s">
        <v>355</v>
      </c>
      <c r="H100" s="1">
        <v>192000</v>
      </c>
      <c r="I100" s="1">
        <v>54000</v>
      </c>
      <c r="J100" s="1">
        <v>0</v>
      </c>
      <c r="K100" s="1">
        <v>138000</v>
      </c>
    </row>
    <row r="101" spans="1:11" x14ac:dyDescent="0.35">
      <c r="A101" s="1" t="s">
        <v>204</v>
      </c>
      <c r="B101" s="1" t="s">
        <v>205</v>
      </c>
      <c r="C101" s="1" t="s">
        <v>89</v>
      </c>
      <c r="D101" s="1" t="s">
        <v>179</v>
      </c>
      <c r="E101" s="1" t="s">
        <v>450</v>
      </c>
      <c r="F101" s="1" t="s">
        <v>117</v>
      </c>
      <c r="G101" s="1" t="s">
        <v>368</v>
      </c>
      <c r="H101" s="1">
        <v>39000</v>
      </c>
      <c r="I101" s="1">
        <v>0</v>
      </c>
      <c r="J101" s="1">
        <v>0</v>
      </c>
      <c r="K101" s="1">
        <v>39000</v>
      </c>
    </row>
    <row r="102" spans="1:11" ht="15" thickBot="1" x14ac:dyDescent="0.4">
      <c r="A102" s="1" t="s">
        <v>204</v>
      </c>
      <c r="B102" s="1" t="s">
        <v>205</v>
      </c>
      <c r="C102" s="1" t="s">
        <v>89</v>
      </c>
      <c r="D102" s="1" t="s">
        <v>179</v>
      </c>
      <c r="E102" s="1" t="s">
        <v>451</v>
      </c>
      <c r="F102" s="1" t="s">
        <v>117</v>
      </c>
      <c r="G102" s="1" t="s">
        <v>32</v>
      </c>
      <c r="H102" s="1">
        <v>96000</v>
      </c>
      <c r="I102" s="1">
        <v>0</v>
      </c>
      <c r="J102" s="1">
        <v>0</v>
      </c>
      <c r="K102" s="1">
        <v>96000</v>
      </c>
    </row>
    <row r="103" spans="1:11" x14ac:dyDescent="0.35">
      <c r="A103" s="4" t="s">
        <v>111</v>
      </c>
      <c r="B103" s="4" t="s">
        <v>111</v>
      </c>
      <c r="C103" s="4" t="s">
        <v>111</v>
      </c>
      <c r="D103" s="4" t="s">
        <v>111</v>
      </c>
      <c r="E103" s="4" t="s">
        <v>78</v>
      </c>
      <c r="F103" s="4" t="s">
        <v>111</v>
      </c>
      <c r="G103" s="4" t="s">
        <v>111</v>
      </c>
      <c r="H103" s="4">
        <v>327000</v>
      </c>
      <c r="I103" s="4">
        <v>54000</v>
      </c>
      <c r="J103" s="4">
        <v>0</v>
      </c>
      <c r="K103" s="4">
        <v>273000</v>
      </c>
    </row>
    <row r="104" spans="1:11" x14ac:dyDescent="0.35">
      <c r="A104" s="1" t="s">
        <v>212</v>
      </c>
      <c r="B104" s="1" t="s">
        <v>213</v>
      </c>
      <c r="C104" s="1" t="s">
        <v>89</v>
      </c>
      <c r="D104" s="1" t="s">
        <v>214</v>
      </c>
      <c r="E104" s="1" t="s">
        <v>452</v>
      </c>
      <c r="F104" s="1" t="s">
        <v>117</v>
      </c>
      <c r="G104" s="1" t="s">
        <v>374</v>
      </c>
      <c r="H104" s="1">
        <v>6000</v>
      </c>
      <c r="I104" s="1">
        <v>3000</v>
      </c>
      <c r="J104" s="1">
        <v>3000</v>
      </c>
      <c r="K104" s="1">
        <v>0</v>
      </c>
    </row>
    <row r="105" spans="1:11" x14ac:dyDescent="0.35">
      <c r="A105" s="1" t="s">
        <v>212</v>
      </c>
      <c r="B105" s="1" t="s">
        <v>213</v>
      </c>
      <c r="C105" s="1" t="s">
        <v>89</v>
      </c>
      <c r="D105" s="1" t="s">
        <v>214</v>
      </c>
      <c r="E105" s="1" t="s">
        <v>453</v>
      </c>
      <c r="F105" s="1" t="s">
        <v>117</v>
      </c>
      <c r="G105" s="1" t="s">
        <v>27</v>
      </c>
      <c r="H105" s="1">
        <v>3000</v>
      </c>
      <c r="I105" s="1">
        <v>0</v>
      </c>
      <c r="J105" s="1">
        <v>0</v>
      </c>
      <c r="K105" s="1">
        <v>3000</v>
      </c>
    </row>
    <row r="106" spans="1:11" ht="15" thickBot="1" x14ac:dyDescent="0.4">
      <c r="A106" s="1" t="s">
        <v>212</v>
      </c>
      <c r="B106" s="1" t="s">
        <v>213</v>
      </c>
      <c r="C106" s="1" t="s">
        <v>89</v>
      </c>
      <c r="D106" s="1" t="s">
        <v>214</v>
      </c>
      <c r="E106" s="1" t="s">
        <v>454</v>
      </c>
      <c r="F106" s="1" t="s">
        <v>117</v>
      </c>
      <c r="G106" s="1" t="s">
        <v>325</v>
      </c>
      <c r="H106" s="1">
        <v>3000</v>
      </c>
      <c r="I106" s="1">
        <v>0</v>
      </c>
      <c r="J106" s="1">
        <v>0</v>
      </c>
      <c r="K106" s="1">
        <v>3000</v>
      </c>
    </row>
    <row r="107" spans="1:11" x14ac:dyDescent="0.35">
      <c r="A107" s="4" t="s">
        <v>111</v>
      </c>
      <c r="B107" s="4" t="s">
        <v>111</v>
      </c>
      <c r="C107" s="4" t="s">
        <v>111</v>
      </c>
      <c r="D107" s="4" t="s">
        <v>111</v>
      </c>
      <c r="E107" s="4" t="s">
        <v>78</v>
      </c>
      <c r="F107" s="4" t="s">
        <v>111</v>
      </c>
      <c r="G107" s="4" t="s">
        <v>111</v>
      </c>
      <c r="H107" s="4">
        <v>12000</v>
      </c>
      <c r="I107" s="4">
        <v>3000</v>
      </c>
      <c r="J107" s="4">
        <v>3000</v>
      </c>
      <c r="K107" s="4">
        <v>6000</v>
      </c>
    </row>
    <row r="108" spans="1:11" x14ac:dyDescent="0.35">
      <c r="A108" s="1" t="s">
        <v>217</v>
      </c>
      <c r="B108" s="1" t="s">
        <v>218</v>
      </c>
      <c r="C108" s="1" t="s">
        <v>89</v>
      </c>
      <c r="D108" s="1" t="s">
        <v>219</v>
      </c>
      <c r="E108" s="1" t="s">
        <v>455</v>
      </c>
      <c r="F108" s="1" t="s">
        <v>117</v>
      </c>
      <c r="G108" s="1" t="s">
        <v>355</v>
      </c>
      <c r="H108" s="1">
        <v>5600</v>
      </c>
      <c r="I108" s="1">
        <v>4800</v>
      </c>
      <c r="J108" s="1">
        <v>800</v>
      </c>
      <c r="K108" s="1">
        <v>0</v>
      </c>
    </row>
    <row r="109" spans="1:11" ht="15" thickBot="1" x14ac:dyDescent="0.4">
      <c r="A109" s="1" t="s">
        <v>217</v>
      </c>
      <c r="B109" s="1" t="s">
        <v>218</v>
      </c>
      <c r="C109" s="1" t="s">
        <v>89</v>
      </c>
      <c r="D109" s="1" t="s">
        <v>219</v>
      </c>
      <c r="E109" s="1" t="s">
        <v>456</v>
      </c>
      <c r="F109" s="1" t="s">
        <v>117</v>
      </c>
      <c r="G109" s="1" t="s">
        <v>357</v>
      </c>
      <c r="H109" s="1">
        <v>1600</v>
      </c>
      <c r="I109" s="1">
        <v>0</v>
      </c>
      <c r="J109" s="1">
        <v>0</v>
      </c>
      <c r="K109" s="1">
        <v>1600</v>
      </c>
    </row>
    <row r="110" spans="1:11" x14ac:dyDescent="0.35">
      <c r="A110" s="4" t="s">
        <v>111</v>
      </c>
      <c r="B110" s="4" t="s">
        <v>111</v>
      </c>
      <c r="C110" s="4" t="s">
        <v>111</v>
      </c>
      <c r="D110" s="4" t="s">
        <v>111</v>
      </c>
      <c r="E110" s="4" t="s">
        <v>78</v>
      </c>
      <c r="F110" s="4" t="s">
        <v>111</v>
      </c>
      <c r="G110" s="4" t="s">
        <v>111</v>
      </c>
      <c r="H110" s="4">
        <v>7200</v>
      </c>
      <c r="I110" s="4">
        <v>4800</v>
      </c>
      <c r="J110" s="4">
        <v>800</v>
      </c>
      <c r="K110" s="4">
        <v>1600</v>
      </c>
    </row>
    <row r="111" spans="1:11" ht="15" thickBot="1" x14ac:dyDescent="0.4">
      <c r="A111" s="1" t="s">
        <v>222</v>
      </c>
      <c r="B111" s="1" t="s">
        <v>223</v>
      </c>
      <c r="C111" s="1" t="s">
        <v>89</v>
      </c>
      <c r="D111" s="1" t="s">
        <v>126</v>
      </c>
      <c r="E111" s="1" t="s">
        <v>457</v>
      </c>
      <c r="F111" s="1" t="s">
        <v>117</v>
      </c>
      <c r="G111" s="1" t="s">
        <v>33</v>
      </c>
      <c r="H111" s="1">
        <v>9000</v>
      </c>
      <c r="I111" s="1">
        <v>0</v>
      </c>
      <c r="J111" s="1">
        <v>0</v>
      </c>
      <c r="K111" s="1">
        <v>9000</v>
      </c>
    </row>
    <row r="112" spans="1:11" x14ac:dyDescent="0.35">
      <c r="A112" s="4" t="s">
        <v>111</v>
      </c>
      <c r="B112" s="4" t="s">
        <v>111</v>
      </c>
      <c r="C112" s="4" t="s">
        <v>111</v>
      </c>
      <c r="D112" s="4" t="s">
        <v>111</v>
      </c>
      <c r="E112" s="4" t="s">
        <v>78</v>
      </c>
      <c r="F112" s="4" t="s">
        <v>111</v>
      </c>
      <c r="G112" s="4" t="s">
        <v>111</v>
      </c>
      <c r="H112" s="4">
        <v>9000</v>
      </c>
      <c r="I112" s="4">
        <v>0</v>
      </c>
      <c r="J112" s="4">
        <v>0</v>
      </c>
      <c r="K112" s="4">
        <v>9000</v>
      </c>
    </row>
    <row r="113" spans="1:11" x14ac:dyDescent="0.35">
      <c r="A113" s="1" t="s">
        <v>226</v>
      </c>
      <c r="B113" s="1" t="s">
        <v>227</v>
      </c>
      <c r="C113" s="1" t="s">
        <v>89</v>
      </c>
      <c r="D113" s="1" t="s">
        <v>149</v>
      </c>
      <c r="E113" s="1" t="s">
        <v>458</v>
      </c>
      <c r="F113" s="1" t="s">
        <v>117</v>
      </c>
      <c r="G113" s="1" t="s">
        <v>434</v>
      </c>
      <c r="H113" s="1">
        <v>80000</v>
      </c>
      <c r="I113" s="1">
        <v>65000</v>
      </c>
      <c r="J113" s="1">
        <v>0</v>
      </c>
      <c r="K113" s="1">
        <v>15000</v>
      </c>
    </row>
    <row r="114" spans="1:11" x14ac:dyDescent="0.35">
      <c r="A114" s="1" t="s">
        <v>226</v>
      </c>
      <c r="B114" s="1" t="s">
        <v>227</v>
      </c>
      <c r="C114" s="1" t="s">
        <v>89</v>
      </c>
      <c r="D114" s="1" t="s">
        <v>149</v>
      </c>
      <c r="E114" s="1" t="s">
        <v>459</v>
      </c>
      <c r="F114" s="1" t="s">
        <v>117</v>
      </c>
      <c r="G114" s="1" t="s">
        <v>460</v>
      </c>
      <c r="H114" s="1">
        <v>15000</v>
      </c>
      <c r="I114" s="1">
        <v>0</v>
      </c>
      <c r="J114" s="1">
        <v>0</v>
      </c>
      <c r="K114" s="1">
        <v>15000</v>
      </c>
    </row>
    <row r="115" spans="1:11" ht="15" thickBot="1" x14ac:dyDescent="0.4">
      <c r="A115" s="1" t="s">
        <v>226</v>
      </c>
      <c r="B115" s="1" t="s">
        <v>227</v>
      </c>
      <c r="C115" s="1" t="s">
        <v>89</v>
      </c>
      <c r="D115" s="1" t="s">
        <v>149</v>
      </c>
      <c r="E115" s="1" t="s">
        <v>461</v>
      </c>
      <c r="F115" s="1" t="s">
        <v>117</v>
      </c>
      <c r="G115" s="1" t="s">
        <v>460</v>
      </c>
      <c r="H115" s="1">
        <v>10000</v>
      </c>
      <c r="I115" s="1">
        <v>0</v>
      </c>
      <c r="J115" s="1">
        <v>0</v>
      </c>
      <c r="K115" s="1">
        <v>10000</v>
      </c>
    </row>
    <row r="116" spans="1:11" x14ac:dyDescent="0.35">
      <c r="A116" s="4" t="s">
        <v>111</v>
      </c>
      <c r="B116" s="4" t="s">
        <v>111</v>
      </c>
      <c r="C116" s="4" t="s">
        <v>111</v>
      </c>
      <c r="D116" s="4" t="s">
        <v>111</v>
      </c>
      <c r="E116" s="4" t="s">
        <v>78</v>
      </c>
      <c r="F116" s="4" t="s">
        <v>111</v>
      </c>
      <c r="G116" s="4" t="s">
        <v>111</v>
      </c>
      <c r="H116" s="4">
        <v>105000</v>
      </c>
      <c r="I116" s="4">
        <v>65000</v>
      </c>
      <c r="J116" s="4">
        <v>0</v>
      </c>
      <c r="K116" s="4">
        <v>40000</v>
      </c>
    </row>
    <row r="117" spans="1:11" x14ac:dyDescent="0.35">
      <c r="A117" s="1" t="s">
        <v>230</v>
      </c>
      <c r="B117" s="1" t="s">
        <v>231</v>
      </c>
      <c r="C117" s="1" t="s">
        <v>89</v>
      </c>
      <c r="D117" s="1" t="s">
        <v>111</v>
      </c>
      <c r="E117" s="1" t="s">
        <v>462</v>
      </c>
      <c r="F117" s="1" t="s">
        <v>117</v>
      </c>
      <c r="G117" s="1" t="s">
        <v>326</v>
      </c>
      <c r="H117" s="1">
        <v>12000</v>
      </c>
      <c r="I117" s="1">
        <v>5600</v>
      </c>
      <c r="J117" s="1">
        <v>0</v>
      </c>
      <c r="K117" s="1">
        <v>6400</v>
      </c>
    </row>
    <row r="118" spans="1:11" x14ac:dyDescent="0.35">
      <c r="A118" s="1" t="s">
        <v>230</v>
      </c>
      <c r="B118" s="1" t="s">
        <v>231</v>
      </c>
      <c r="C118" s="1" t="s">
        <v>89</v>
      </c>
      <c r="D118" s="1" t="s">
        <v>111</v>
      </c>
      <c r="E118" s="1" t="s">
        <v>463</v>
      </c>
      <c r="F118" s="1" t="s">
        <v>117</v>
      </c>
      <c r="G118" s="1" t="s">
        <v>326</v>
      </c>
      <c r="H118" s="1">
        <v>8800</v>
      </c>
      <c r="I118" s="1">
        <v>0</v>
      </c>
      <c r="J118" s="1">
        <v>0</v>
      </c>
      <c r="K118" s="1">
        <v>8800</v>
      </c>
    </row>
    <row r="119" spans="1:11" x14ac:dyDescent="0.35">
      <c r="A119" s="1" t="s">
        <v>230</v>
      </c>
      <c r="B119" s="1" t="s">
        <v>231</v>
      </c>
      <c r="C119" s="1" t="s">
        <v>89</v>
      </c>
      <c r="D119" s="1" t="s">
        <v>111</v>
      </c>
      <c r="E119" s="1" t="s">
        <v>464</v>
      </c>
      <c r="F119" s="1" t="s">
        <v>117</v>
      </c>
      <c r="G119" s="1" t="s">
        <v>326</v>
      </c>
      <c r="H119" s="1">
        <v>13600</v>
      </c>
      <c r="I119" s="1">
        <v>0</v>
      </c>
      <c r="J119" s="1">
        <v>0</v>
      </c>
      <c r="K119" s="1">
        <v>13600</v>
      </c>
    </row>
    <row r="120" spans="1:11" ht="15" thickBot="1" x14ac:dyDescent="0.4">
      <c r="A120" s="1" t="s">
        <v>230</v>
      </c>
      <c r="B120" s="1" t="s">
        <v>231</v>
      </c>
      <c r="C120" s="1" t="s">
        <v>89</v>
      </c>
      <c r="D120" s="1" t="s">
        <v>111</v>
      </c>
      <c r="E120" s="1" t="s">
        <v>465</v>
      </c>
      <c r="F120" s="1" t="s">
        <v>117</v>
      </c>
      <c r="G120" s="1" t="s">
        <v>466</v>
      </c>
      <c r="H120" s="1">
        <v>1600</v>
      </c>
      <c r="I120" s="1">
        <v>0</v>
      </c>
      <c r="J120" s="1">
        <v>0</v>
      </c>
      <c r="K120" s="1">
        <v>1600</v>
      </c>
    </row>
    <row r="121" spans="1:11" x14ac:dyDescent="0.35">
      <c r="A121" s="4" t="s">
        <v>111</v>
      </c>
      <c r="B121" s="4" t="s">
        <v>111</v>
      </c>
      <c r="C121" s="4" t="s">
        <v>111</v>
      </c>
      <c r="D121" s="4" t="s">
        <v>111</v>
      </c>
      <c r="E121" s="4" t="s">
        <v>78</v>
      </c>
      <c r="F121" s="4" t="s">
        <v>111</v>
      </c>
      <c r="G121" s="4" t="s">
        <v>111</v>
      </c>
      <c r="H121" s="4">
        <v>36000</v>
      </c>
      <c r="I121" s="4">
        <v>5600</v>
      </c>
      <c r="J121" s="4">
        <v>0</v>
      </c>
      <c r="K121" s="4">
        <v>30400</v>
      </c>
    </row>
    <row r="122" spans="1:11" x14ac:dyDescent="0.35">
      <c r="A122" s="1" t="s">
        <v>239</v>
      </c>
      <c r="B122" s="1" t="s">
        <v>240</v>
      </c>
      <c r="C122" s="1" t="s">
        <v>89</v>
      </c>
      <c r="D122" s="1" t="s">
        <v>236</v>
      </c>
      <c r="E122" s="1" t="s">
        <v>467</v>
      </c>
      <c r="F122" s="1" t="s">
        <v>117</v>
      </c>
      <c r="G122" s="1" t="s">
        <v>330</v>
      </c>
      <c r="H122" s="1">
        <v>3000</v>
      </c>
      <c r="I122" s="1">
        <v>0</v>
      </c>
      <c r="J122" s="1">
        <v>0</v>
      </c>
      <c r="K122" s="1">
        <v>3000</v>
      </c>
    </row>
    <row r="123" spans="1:11" ht="15" thickBot="1" x14ac:dyDescent="0.4">
      <c r="A123" s="1" t="s">
        <v>239</v>
      </c>
      <c r="B123" s="1" t="s">
        <v>240</v>
      </c>
      <c r="C123" s="1" t="s">
        <v>89</v>
      </c>
      <c r="D123" s="1" t="s">
        <v>236</v>
      </c>
      <c r="E123" s="1" t="s">
        <v>468</v>
      </c>
      <c r="F123" s="1" t="s">
        <v>117</v>
      </c>
      <c r="G123" s="1" t="s">
        <v>29</v>
      </c>
      <c r="H123" s="1">
        <v>3000</v>
      </c>
      <c r="I123" s="1">
        <v>0</v>
      </c>
      <c r="J123" s="1">
        <v>0</v>
      </c>
      <c r="K123" s="1">
        <v>3000</v>
      </c>
    </row>
    <row r="124" spans="1:11" x14ac:dyDescent="0.35">
      <c r="A124" s="4" t="s">
        <v>111</v>
      </c>
      <c r="B124" s="4" t="s">
        <v>111</v>
      </c>
      <c r="C124" s="4" t="s">
        <v>111</v>
      </c>
      <c r="D124" s="4" t="s">
        <v>111</v>
      </c>
      <c r="E124" s="4" t="s">
        <v>78</v>
      </c>
      <c r="F124" s="4" t="s">
        <v>111</v>
      </c>
      <c r="G124" s="4" t="s">
        <v>111</v>
      </c>
      <c r="H124" s="4">
        <v>6000</v>
      </c>
      <c r="I124" s="4">
        <v>0</v>
      </c>
      <c r="J124" s="4">
        <v>0</v>
      </c>
      <c r="K124" s="4">
        <v>6000</v>
      </c>
    </row>
    <row r="125" spans="1:11" ht="15" thickBot="1" x14ac:dyDescent="0.4">
      <c r="A125" s="1" t="s">
        <v>243</v>
      </c>
      <c r="B125" s="1" t="s">
        <v>244</v>
      </c>
      <c r="C125" s="1" t="s">
        <v>89</v>
      </c>
      <c r="D125" s="1" t="s">
        <v>236</v>
      </c>
      <c r="E125" s="1" t="s">
        <v>469</v>
      </c>
      <c r="F125" s="1" t="s">
        <v>117</v>
      </c>
      <c r="G125" s="1" t="s">
        <v>42</v>
      </c>
      <c r="H125" s="1">
        <v>3000</v>
      </c>
      <c r="I125" s="1">
        <v>0</v>
      </c>
      <c r="J125" s="1">
        <v>0</v>
      </c>
      <c r="K125" s="1">
        <v>3000</v>
      </c>
    </row>
    <row r="126" spans="1:11" x14ac:dyDescent="0.35">
      <c r="A126" s="4" t="s">
        <v>111</v>
      </c>
      <c r="B126" s="4" t="s">
        <v>111</v>
      </c>
      <c r="C126" s="4" t="s">
        <v>111</v>
      </c>
      <c r="D126" s="4" t="s">
        <v>111</v>
      </c>
      <c r="E126" s="4" t="s">
        <v>78</v>
      </c>
      <c r="F126" s="4" t="s">
        <v>111</v>
      </c>
      <c r="G126" s="4" t="s">
        <v>111</v>
      </c>
      <c r="H126" s="4">
        <v>3000</v>
      </c>
      <c r="I126" s="4">
        <v>0</v>
      </c>
      <c r="J126" s="4">
        <v>0</v>
      </c>
      <c r="K126" s="4">
        <v>3000</v>
      </c>
    </row>
    <row r="127" spans="1:11" x14ac:dyDescent="0.35">
      <c r="A127" s="1" t="s">
        <v>247</v>
      </c>
      <c r="B127" s="1" t="s">
        <v>248</v>
      </c>
      <c r="C127" s="1" t="s">
        <v>89</v>
      </c>
      <c r="D127" s="1" t="s">
        <v>214</v>
      </c>
      <c r="E127" s="1" t="s">
        <v>470</v>
      </c>
      <c r="F127" s="1" t="s">
        <v>117</v>
      </c>
      <c r="G127" s="1" t="s">
        <v>12</v>
      </c>
      <c r="H127" s="1">
        <v>3000</v>
      </c>
      <c r="I127" s="1">
        <v>0</v>
      </c>
      <c r="J127" s="1">
        <v>0</v>
      </c>
      <c r="K127" s="1">
        <v>3000</v>
      </c>
    </row>
    <row r="128" spans="1:11" x14ac:dyDescent="0.35">
      <c r="A128" s="1" t="s">
        <v>247</v>
      </c>
      <c r="B128" s="1" t="s">
        <v>248</v>
      </c>
      <c r="C128" s="1" t="s">
        <v>89</v>
      </c>
      <c r="D128" s="1" t="s">
        <v>214</v>
      </c>
      <c r="E128" s="1" t="s">
        <v>471</v>
      </c>
      <c r="F128" s="1" t="s">
        <v>117</v>
      </c>
      <c r="G128" s="1" t="s">
        <v>355</v>
      </c>
      <c r="H128" s="1">
        <v>15000</v>
      </c>
      <c r="I128" s="1">
        <v>0</v>
      </c>
      <c r="J128" s="1">
        <v>0</v>
      </c>
      <c r="K128" s="1">
        <v>15000</v>
      </c>
    </row>
    <row r="129" spans="1:11" ht="15" thickBot="1" x14ac:dyDescent="0.4">
      <c r="A129" s="1" t="s">
        <v>247</v>
      </c>
      <c r="B129" s="1" t="s">
        <v>248</v>
      </c>
      <c r="C129" s="1" t="s">
        <v>89</v>
      </c>
      <c r="D129" s="1" t="s">
        <v>214</v>
      </c>
      <c r="E129" s="1" t="s">
        <v>472</v>
      </c>
      <c r="F129" s="1" t="s">
        <v>117</v>
      </c>
      <c r="G129" s="1" t="s">
        <v>355</v>
      </c>
      <c r="H129" s="1">
        <v>3000</v>
      </c>
      <c r="I129" s="1">
        <v>0</v>
      </c>
      <c r="J129" s="1">
        <v>0</v>
      </c>
      <c r="K129" s="1">
        <v>3000</v>
      </c>
    </row>
    <row r="130" spans="1:11" x14ac:dyDescent="0.35">
      <c r="A130" s="4" t="s">
        <v>111</v>
      </c>
      <c r="B130" s="4" t="s">
        <v>111</v>
      </c>
      <c r="C130" s="4" t="s">
        <v>111</v>
      </c>
      <c r="D130" s="4" t="s">
        <v>111</v>
      </c>
      <c r="E130" s="4" t="s">
        <v>78</v>
      </c>
      <c r="F130" s="4" t="s">
        <v>111</v>
      </c>
      <c r="G130" s="4" t="s">
        <v>111</v>
      </c>
      <c r="H130" s="4">
        <v>21000</v>
      </c>
      <c r="I130" s="4">
        <v>0</v>
      </c>
      <c r="J130" s="4">
        <v>0</v>
      </c>
      <c r="K130" s="4">
        <v>21000</v>
      </c>
    </row>
    <row r="131" spans="1:11" x14ac:dyDescent="0.35">
      <c r="A131" s="1" t="s">
        <v>251</v>
      </c>
      <c r="B131" s="1" t="s">
        <v>252</v>
      </c>
      <c r="C131" s="1" t="s">
        <v>89</v>
      </c>
      <c r="D131" s="1" t="s">
        <v>98</v>
      </c>
      <c r="E131" s="1" t="s">
        <v>473</v>
      </c>
      <c r="F131" s="1" t="s">
        <v>117</v>
      </c>
      <c r="G131" s="1" t="s">
        <v>32</v>
      </c>
      <c r="H131" s="1">
        <v>225000</v>
      </c>
      <c r="I131" s="1">
        <v>0</v>
      </c>
      <c r="J131" s="1">
        <v>0</v>
      </c>
      <c r="K131" s="1">
        <v>225000</v>
      </c>
    </row>
    <row r="132" spans="1:11" ht="15" thickBot="1" x14ac:dyDescent="0.4">
      <c r="A132" s="1" t="s">
        <v>251</v>
      </c>
      <c r="B132" s="1" t="s">
        <v>252</v>
      </c>
      <c r="C132" s="1" t="s">
        <v>89</v>
      </c>
      <c r="D132" s="1" t="s">
        <v>98</v>
      </c>
      <c r="E132" s="1" t="s">
        <v>474</v>
      </c>
      <c r="F132" s="1" t="s">
        <v>117</v>
      </c>
      <c r="G132" s="1" t="s">
        <v>32</v>
      </c>
      <c r="H132" s="1">
        <v>6000</v>
      </c>
      <c r="I132" s="1">
        <v>0</v>
      </c>
      <c r="J132" s="1">
        <v>0</v>
      </c>
      <c r="K132" s="1">
        <v>6000</v>
      </c>
    </row>
    <row r="133" spans="1:11" x14ac:dyDescent="0.35">
      <c r="A133" s="4" t="s">
        <v>111</v>
      </c>
      <c r="B133" s="4" t="s">
        <v>111</v>
      </c>
      <c r="C133" s="4" t="s">
        <v>111</v>
      </c>
      <c r="D133" s="4" t="s">
        <v>111</v>
      </c>
      <c r="E133" s="4" t="s">
        <v>78</v>
      </c>
      <c r="F133" s="4" t="s">
        <v>111</v>
      </c>
      <c r="G133" s="4" t="s">
        <v>111</v>
      </c>
      <c r="H133" s="4">
        <v>231000</v>
      </c>
      <c r="I133" s="4">
        <v>0</v>
      </c>
      <c r="J133" s="4">
        <v>0</v>
      </c>
      <c r="K133" s="4">
        <v>231000</v>
      </c>
    </row>
    <row r="134" spans="1:11" x14ac:dyDescent="0.35">
      <c r="A134" s="1" t="s">
        <v>255</v>
      </c>
      <c r="B134" s="1" t="s">
        <v>256</v>
      </c>
      <c r="C134" s="1" t="s">
        <v>89</v>
      </c>
      <c r="D134" s="1" t="s">
        <v>98</v>
      </c>
      <c r="E134" s="1" t="s">
        <v>475</v>
      </c>
      <c r="F134" s="1" t="s">
        <v>117</v>
      </c>
      <c r="G134" s="1" t="s">
        <v>12</v>
      </c>
      <c r="H134" s="1">
        <v>12000</v>
      </c>
      <c r="I134" s="1">
        <v>6000</v>
      </c>
      <c r="J134" s="1">
        <v>0</v>
      </c>
      <c r="K134" s="1">
        <v>6000</v>
      </c>
    </row>
    <row r="135" spans="1:11" ht="15" thickBot="1" x14ac:dyDescent="0.4">
      <c r="A135" s="1" t="s">
        <v>255</v>
      </c>
      <c r="B135" s="1" t="s">
        <v>256</v>
      </c>
      <c r="C135" s="1" t="s">
        <v>89</v>
      </c>
      <c r="D135" s="1" t="s">
        <v>98</v>
      </c>
      <c r="E135" s="1" t="s">
        <v>476</v>
      </c>
      <c r="F135" s="1" t="s">
        <v>117</v>
      </c>
      <c r="G135" s="1" t="s">
        <v>325</v>
      </c>
      <c r="H135" s="1">
        <v>6000</v>
      </c>
      <c r="I135" s="1">
        <v>0</v>
      </c>
      <c r="J135" s="1">
        <v>0</v>
      </c>
      <c r="K135" s="1">
        <v>6000</v>
      </c>
    </row>
    <row r="136" spans="1:11" x14ac:dyDescent="0.35">
      <c r="A136" s="4" t="s">
        <v>111</v>
      </c>
      <c r="B136" s="4" t="s">
        <v>111</v>
      </c>
      <c r="C136" s="4" t="s">
        <v>111</v>
      </c>
      <c r="D136" s="4" t="s">
        <v>111</v>
      </c>
      <c r="E136" s="4" t="s">
        <v>78</v>
      </c>
      <c r="F136" s="4" t="s">
        <v>111</v>
      </c>
      <c r="G136" s="4" t="s">
        <v>111</v>
      </c>
      <c r="H136" s="4">
        <v>18000</v>
      </c>
      <c r="I136" s="4">
        <v>6000</v>
      </c>
      <c r="J136" s="4">
        <v>0</v>
      </c>
      <c r="K136" s="4">
        <v>12000</v>
      </c>
    </row>
    <row r="137" spans="1:11" ht="15" thickBot="1" x14ac:dyDescent="0.4">
      <c r="A137" s="1" t="s">
        <v>259</v>
      </c>
      <c r="B137" s="1" t="s">
        <v>260</v>
      </c>
      <c r="C137" s="1" t="s">
        <v>89</v>
      </c>
      <c r="D137" s="1" t="s">
        <v>111</v>
      </c>
      <c r="E137" s="1" t="s">
        <v>477</v>
      </c>
      <c r="F137" s="1" t="s">
        <v>117</v>
      </c>
      <c r="G137" s="1" t="s">
        <v>478</v>
      </c>
      <c r="H137" s="1">
        <v>21000</v>
      </c>
      <c r="I137" s="1">
        <v>12000</v>
      </c>
      <c r="J137" s="1">
        <v>0</v>
      </c>
      <c r="K137" s="1">
        <v>9000</v>
      </c>
    </row>
    <row r="138" spans="1:11" x14ac:dyDescent="0.35">
      <c r="A138" s="4" t="s">
        <v>111</v>
      </c>
      <c r="B138" s="4" t="s">
        <v>111</v>
      </c>
      <c r="C138" s="4" t="s">
        <v>111</v>
      </c>
      <c r="D138" s="4" t="s">
        <v>111</v>
      </c>
      <c r="E138" s="4" t="s">
        <v>78</v>
      </c>
      <c r="F138" s="4" t="s">
        <v>111</v>
      </c>
      <c r="G138" s="4" t="s">
        <v>111</v>
      </c>
      <c r="H138" s="4">
        <v>21000</v>
      </c>
      <c r="I138" s="4">
        <v>12000</v>
      </c>
      <c r="J138" s="4">
        <v>0</v>
      </c>
      <c r="K138" s="4">
        <v>9000</v>
      </c>
    </row>
    <row r="139" spans="1:11" ht="15" thickBot="1" x14ac:dyDescent="0.4">
      <c r="A139" s="1" t="s">
        <v>263</v>
      </c>
      <c r="B139" s="1" t="s">
        <v>264</v>
      </c>
      <c r="C139" s="1" t="s">
        <v>89</v>
      </c>
      <c r="D139" s="1" t="s">
        <v>111</v>
      </c>
      <c r="E139" s="1" t="s">
        <v>479</v>
      </c>
      <c r="F139" s="1" t="s">
        <v>117</v>
      </c>
      <c r="G139" s="1" t="s">
        <v>436</v>
      </c>
      <c r="H139" s="1">
        <v>10000</v>
      </c>
      <c r="I139" s="1">
        <v>0</v>
      </c>
      <c r="J139" s="1">
        <v>0</v>
      </c>
      <c r="K139" s="1">
        <v>10000</v>
      </c>
    </row>
    <row r="140" spans="1:11" x14ac:dyDescent="0.35">
      <c r="A140" s="4" t="s">
        <v>111</v>
      </c>
      <c r="B140" s="4" t="s">
        <v>111</v>
      </c>
      <c r="C140" s="4" t="s">
        <v>111</v>
      </c>
      <c r="D140" s="4" t="s">
        <v>111</v>
      </c>
      <c r="E140" s="4" t="s">
        <v>78</v>
      </c>
      <c r="F140" s="4" t="s">
        <v>111</v>
      </c>
      <c r="G140" s="4" t="s">
        <v>111</v>
      </c>
      <c r="H140" s="4">
        <v>10000</v>
      </c>
      <c r="I140" s="4">
        <v>0</v>
      </c>
      <c r="J140" s="4">
        <v>0</v>
      </c>
      <c r="K140" s="4">
        <v>10000</v>
      </c>
    </row>
    <row r="141" spans="1:11" ht="15" thickBot="1" x14ac:dyDescent="0.4">
      <c r="A141" s="1" t="s">
        <v>272</v>
      </c>
      <c r="B141" s="1" t="s">
        <v>273</v>
      </c>
      <c r="C141" s="1" t="s">
        <v>89</v>
      </c>
      <c r="D141" s="1" t="s">
        <v>269</v>
      </c>
      <c r="E141" s="1" t="s">
        <v>480</v>
      </c>
      <c r="F141" s="1" t="s">
        <v>117</v>
      </c>
      <c r="G141" s="1" t="s">
        <v>481</v>
      </c>
      <c r="H141" s="1">
        <v>3000</v>
      </c>
      <c r="I141" s="1">
        <v>0</v>
      </c>
      <c r="J141" s="1">
        <v>0</v>
      </c>
      <c r="K141" s="1">
        <v>3000</v>
      </c>
    </row>
    <row r="142" spans="1:11" x14ac:dyDescent="0.35">
      <c r="A142" s="4" t="s">
        <v>111</v>
      </c>
      <c r="B142" s="4" t="s">
        <v>111</v>
      </c>
      <c r="C142" s="4" t="s">
        <v>111</v>
      </c>
      <c r="D142" s="4" t="s">
        <v>111</v>
      </c>
      <c r="E142" s="4" t="s">
        <v>78</v>
      </c>
      <c r="F142" s="4" t="s">
        <v>111</v>
      </c>
      <c r="G142" s="4" t="s">
        <v>111</v>
      </c>
      <c r="H142" s="4">
        <v>3000</v>
      </c>
      <c r="I142" s="4">
        <v>0</v>
      </c>
      <c r="J142" s="4">
        <v>0</v>
      </c>
      <c r="K142" s="4">
        <v>3000</v>
      </c>
    </row>
    <row r="143" spans="1:11" x14ac:dyDescent="0.35">
      <c r="A143" s="1" t="s">
        <v>276</v>
      </c>
      <c r="B143" s="1" t="s">
        <v>277</v>
      </c>
      <c r="C143" s="1" t="s">
        <v>89</v>
      </c>
      <c r="D143" s="1" t="s">
        <v>98</v>
      </c>
      <c r="E143" s="1" t="s">
        <v>482</v>
      </c>
      <c r="F143" s="1" t="s">
        <v>117</v>
      </c>
      <c r="G143" s="1" t="s">
        <v>355</v>
      </c>
      <c r="H143" s="1">
        <v>10000</v>
      </c>
      <c r="I143" s="1">
        <v>0</v>
      </c>
      <c r="J143" s="1">
        <v>10000</v>
      </c>
      <c r="K143" s="1">
        <v>0</v>
      </c>
    </row>
    <row r="144" spans="1:11" x14ac:dyDescent="0.35">
      <c r="A144" s="1" t="s">
        <v>276</v>
      </c>
      <c r="B144" s="1" t="s">
        <v>277</v>
      </c>
      <c r="C144" s="1" t="s">
        <v>89</v>
      </c>
      <c r="D144" s="1" t="s">
        <v>98</v>
      </c>
      <c r="E144" s="1" t="s">
        <v>483</v>
      </c>
      <c r="F144" s="1" t="s">
        <v>117</v>
      </c>
      <c r="G144" s="1" t="s">
        <v>355</v>
      </c>
      <c r="H144" s="1">
        <v>5000</v>
      </c>
      <c r="I144" s="1">
        <v>0</v>
      </c>
      <c r="J144" s="1">
        <v>0</v>
      </c>
      <c r="K144" s="1">
        <v>5000</v>
      </c>
    </row>
    <row r="145" spans="1:11" ht="15" thickBot="1" x14ac:dyDescent="0.4">
      <c r="A145" s="1" t="s">
        <v>276</v>
      </c>
      <c r="B145" s="1" t="s">
        <v>277</v>
      </c>
      <c r="C145" s="1" t="s">
        <v>89</v>
      </c>
      <c r="D145" s="1" t="s">
        <v>98</v>
      </c>
      <c r="E145" s="1" t="s">
        <v>484</v>
      </c>
      <c r="F145" s="1" t="s">
        <v>117</v>
      </c>
      <c r="G145" s="1" t="s">
        <v>391</v>
      </c>
      <c r="H145" s="1">
        <v>5000</v>
      </c>
      <c r="I145" s="1">
        <v>0</v>
      </c>
      <c r="J145" s="1">
        <v>0</v>
      </c>
      <c r="K145" s="1">
        <v>5000</v>
      </c>
    </row>
    <row r="146" spans="1:11" x14ac:dyDescent="0.35">
      <c r="A146" s="4" t="s">
        <v>111</v>
      </c>
      <c r="B146" s="4" t="s">
        <v>111</v>
      </c>
      <c r="C146" s="4" t="s">
        <v>111</v>
      </c>
      <c r="D146" s="4" t="s">
        <v>111</v>
      </c>
      <c r="E146" s="4" t="s">
        <v>78</v>
      </c>
      <c r="F146" s="4" t="s">
        <v>111</v>
      </c>
      <c r="G146" s="4" t="s">
        <v>111</v>
      </c>
      <c r="H146" s="4">
        <v>20000</v>
      </c>
      <c r="I146" s="4">
        <v>0</v>
      </c>
      <c r="J146" s="4">
        <v>10000</v>
      </c>
      <c r="K146" s="4">
        <v>10000</v>
      </c>
    </row>
    <row r="147" spans="1:11" x14ac:dyDescent="0.35">
      <c r="A147" s="1" t="s">
        <v>280</v>
      </c>
      <c r="B147" s="1" t="s">
        <v>281</v>
      </c>
      <c r="C147" s="1" t="s">
        <v>89</v>
      </c>
      <c r="D147" s="1" t="s">
        <v>154</v>
      </c>
      <c r="E147" s="1" t="s">
        <v>485</v>
      </c>
      <c r="F147" s="1" t="s">
        <v>117</v>
      </c>
      <c r="G147" s="1" t="s">
        <v>355</v>
      </c>
      <c r="H147" s="1">
        <v>14400</v>
      </c>
      <c r="I147" s="1">
        <v>5400</v>
      </c>
      <c r="J147" s="1">
        <v>5400</v>
      </c>
      <c r="K147" s="1">
        <v>3600</v>
      </c>
    </row>
    <row r="148" spans="1:11" x14ac:dyDescent="0.35">
      <c r="A148" s="1" t="s">
        <v>280</v>
      </c>
      <c r="B148" s="1" t="s">
        <v>281</v>
      </c>
      <c r="C148" s="1" t="s">
        <v>89</v>
      </c>
      <c r="D148" s="1" t="s">
        <v>154</v>
      </c>
      <c r="E148" s="1" t="s">
        <v>486</v>
      </c>
      <c r="F148" s="1" t="s">
        <v>117</v>
      </c>
      <c r="G148" s="1" t="s">
        <v>33</v>
      </c>
      <c r="H148" s="1">
        <v>7200</v>
      </c>
      <c r="I148" s="1">
        <v>0</v>
      </c>
      <c r="J148" s="1">
        <v>0</v>
      </c>
      <c r="K148" s="1">
        <v>7200</v>
      </c>
    </row>
    <row r="149" spans="1:11" ht="15" thickBot="1" x14ac:dyDescent="0.4">
      <c r="A149" s="1" t="s">
        <v>280</v>
      </c>
      <c r="B149" s="1" t="s">
        <v>281</v>
      </c>
      <c r="C149" s="1" t="s">
        <v>89</v>
      </c>
      <c r="D149" s="1" t="s">
        <v>154</v>
      </c>
      <c r="E149" s="1" t="s">
        <v>487</v>
      </c>
      <c r="F149" s="1" t="s">
        <v>117</v>
      </c>
      <c r="G149" s="1" t="s">
        <v>33</v>
      </c>
      <c r="H149" s="1">
        <v>1800</v>
      </c>
      <c r="I149" s="1">
        <v>0</v>
      </c>
      <c r="J149" s="1">
        <v>0</v>
      </c>
      <c r="K149" s="1">
        <v>1800</v>
      </c>
    </row>
    <row r="150" spans="1:11" x14ac:dyDescent="0.35">
      <c r="A150" s="4" t="s">
        <v>111</v>
      </c>
      <c r="B150" s="4" t="s">
        <v>111</v>
      </c>
      <c r="C150" s="4" t="s">
        <v>111</v>
      </c>
      <c r="D150" s="4" t="s">
        <v>111</v>
      </c>
      <c r="E150" s="4" t="s">
        <v>78</v>
      </c>
      <c r="F150" s="4" t="s">
        <v>111</v>
      </c>
      <c r="G150" s="4" t="s">
        <v>111</v>
      </c>
      <c r="H150" s="4">
        <v>23400</v>
      </c>
      <c r="I150" s="4">
        <v>5400</v>
      </c>
      <c r="J150" s="4">
        <v>5400</v>
      </c>
      <c r="K150" s="4">
        <v>12600</v>
      </c>
    </row>
    <row r="151" spans="1:11" x14ac:dyDescent="0.35">
      <c r="A151" s="1" t="s">
        <v>284</v>
      </c>
      <c r="B151" s="1" t="s">
        <v>285</v>
      </c>
      <c r="C151" s="1" t="s">
        <v>89</v>
      </c>
      <c r="D151" s="1" t="s">
        <v>286</v>
      </c>
      <c r="E151" s="1" t="s">
        <v>488</v>
      </c>
      <c r="F151" s="1" t="s">
        <v>117</v>
      </c>
      <c r="G151" s="1" t="s">
        <v>374</v>
      </c>
      <c r="H151" s="1">
        <v>5000</v>
      </c>
      <c r="I151" s="1">
        <v>0</v>
      </c>
      <c r="J151" s="1">
        <v>0</v>
      </c>
      <c r="K151" s="1">
        <v>5000</v>
      </c>
    </row>
    <row r="152" spans="1:11" x14ac:dyDescent="0.35">
      <c r="A152" s="1" t="s">
        <v>284</v>
      </c>
      <c r="B152" s="1" t="s">
        <v>285</v>
      </c>
      <c r="C152" s="1" t="s">
        <v>89</v>
      </c>
      <c r="D152" s="1" t="s">
        <v>286</v>
      </c>
      <c r="E152" s="1" t="s">
        <v>489</v>
      </c>
      <c r="F152" s="1" t="s">
        <v>117</v>
      </c>
      <c r="G152" s="1" t="s">
        <v>26</v>
      </c>
      <c r="H152" s="1">
        <v>5000</v>
      </c>
      <c r="I152" s="1">
        <v>0</v>
      </c>
      <c r="J152" s="1">
        <v>0</v>
      </c>
      <c r="K152" s="1">
        <v>5000</v>
      </c>
    </row>
    <row r="153" spans="1:11" ht="15" thickBot="1" x14ac:dyDescent="0.4">
      <c r="A153" s="1" t="s">
        <v>284</v>
      </c>
      <c r="B153" s="1" t="s">
        <v>285</v>
      </c>
      <c r="C153" s="1" t="s">
        <v>89</v>
      </c>
      <c r="D153" s="1" t="s">
        <v>286</v>
      </c>
      <c r="E153" s="1" t="s">
        <v>490</v>
      </c>
      <c r="F153" s="1" t="s">
        <v>117</v>
      </c>
      <c r="G153" s="1" t="s">
        <v>355</v>
      </c>
      <c r="H153" s="1">
        <v>15000</v>
      </c>
      <c r="I153" s="1">
        <v>0</v>
      </c>
      <c r="J153" s="1">
        <v>0</v>
      </c>
      <c r="K153" s="1">
        <v>15000</v>
      </c>
    </row>
    <row r="154" spans="1:11" x14ac:dyDescent="0.35">
      <c r="A154" s="4" t="s">
        <v>111</v>
      </c>
      <c r="B154" s="4" t="s">
        <v>111</v>
      </c>
      <c r="C154" s="4" t="s">
        <v>111</v>
      </c>
      <c r="D154" s="4" t="s">
        <v>111</v>
      </c>
      <c r="E154" s="4" t="s">
        <v>78</v>
      </c>
      <c r="F154" s="4" t="s">
        <v>111</v>
      </c>
      <c r="G154" s="4" t="s">
        <v>111</v>
      </c>
      <c r="H154" s="4">
        <v>25000</v>
      </c>
      <c r="I154" s="4">
        <v>0</v>
      </c>
      <c r="J154" s="4">
        <v>0</v>
      </c>
      <c r="K154" s="4">
        <v>25000</v>
      </c>
    </row>
    <row r="155" spans="1:11" ht="15" thickBot="1" x14ac:dyDescent="0.4">
      <c r="A155" s="1" t="s">
        <v>293</v>
      </c>
      <c r="B155" s="1" t="s">
        <v>294</v>
      </c>
      <c r="C155" s="1" t="s">
        <v>89</v>
      </c>
      <c r="D155" s="1" t="s">
        <v>295</v>
      </c>
      <c r="E155" s="1" t="s">
        <v>491</v>
      </c>
      <c r="F155" s="1" t="s">
        <v>117</v>
      </c>
      <c r="G155" s="1" t="s">
        <v>355</v>
      </c>
      <c r="H155" s="1">
        <v>5000</v>
      </c>
      <c r="I155" s="1">
        <v>0</v>
      </c>
      <c r="J155" s="1">
        <v>5000</v>
      </c>
      <c r="K155" s="1">
        <v>0</v>
      </c>
    </row>
    <row r="156" spans="1:11" x14ac:dyDescent="0.35">
      <c r="A156" s="4" t="s">
        <v>111</v>
      </c>
      <c r="B156" s="4" t="s">
        <v>111</v>
      </c>
      <c r="C156" s="4" t="s">
        <v>111</v>
      </c>
      <c r="D156" s="4" t="s">
        <v>111</v>
      </c>
      <c r="E156" s="4" t="s">
        <v>78</v>
      </c>
      <c r="F156" s="4" t="s">
        <v>111</v>
      </c>
      <c r="G156" s="4" t="s">
        <v>111</v>
      </c>
      <c r="H156" s="4">
        <v>5000</v>
      </c>
      <c r="I156" s="4">
        <v>0</v>
      </c>
      <c r="J156" s="4">
        <v>5000</v>
      </c>
      <c r="K156" s="4">
        <v>0</v>
      </c>
    </row>
    <row r="157" spans="1:11" ht="15" thickBot="1" x14ac:dyDescent="0.4">
      <c r="A157" s="1" t="s">
        <v>298</v>
      </c>
      <c r="B157" s="1" t="s">
        <v>299</v>
      </c>
      <c r="C157" s="1" t="s">
        <v>89</v>
      </c>
      <c r="D157" s="1" t="s">
        <v>111</v>
      </c>
      <c r="E157" s="1" t="s">
        <v>492</v>
      </c>
      <c r="F157" s="1" t="s">
        <v>117</v>
      </c>
      <c r="G157" s="1" t="s">
        <v>355</v>
      </c>
      <c r="H157" s="1">
        <v>20000</v>
      </c>
      <c r="I157" s="1">
        <v>0</v>
      </c>
      <c r="J157" s="1">
        <v>0</v>
      </c>
      <c r="K157" s="1">
        <v>20000</v>
      </c>
    </row>
    <row r="158" spans="1:11" x14ac:dyDescent="0.35">
      <c r="A158" s="4" t="s">
        <v>111</v>
      </c>
      <c r="B158" s="4" t="s">
        <v>111</v>
      </c>
      <c r="C158" s="4" t="s">
        <v>111</v>
      </c>
      <c r="D158" s="4" t="s">
        <v>111</v>
      </c>
      <c r="E158" s="4" t="s">
        <v>78</v>
      </c>
      <c r="F158" s="4" t="s">
        <v>111</v>
      </c>
      <c r="G158" s="4" t="s">
        <v>111</v>
      </c>
      <c r="H158" s="4">
        <v>20000</v>
      </c>
      <c r="I158" s="4">
        <v>0</v>
      </c>
      <c r="J158" s="4">
        <v>0</v>
      </c>
      <c r="K158" s="4">
        <v>20000</v>
      </c>
    </row>
    <row r="159" spans="1:11" ht="15" thickBot="1" x14ac:dyDescent="0.4">
      <c r="A159" s="1" t="s">
        <v>302</v>
      </c>
      <c r="B159" s="1" t="s">
        <v>303</v>
      </c>
      <c r="C159" s="1" t="s">
        <v>89</v>
      </c>
      <c r="D159" s="1" t="s">
        <v>214</v>
      </c>
      <c r="E159" s="1" t="s">
        <v>493</v>
      </c>
      <c r="F159" s="1" t="s">
        <v>117</v>
      </c>
      <c r="G159" s="1" t="s">
        <v>326</v>
      </c>
      <c r="H159" s="1">
        <v>3000</v>
      </c>
      <c r="I159" s="1">
        <v>0</v>
      </c>
      <c r="J159" s="1">
        <v>0</v>
      </c>
      <c r="K159" s="1">
        <v>3000</v>
      </c>
    </row>
    <row r="160" spans="1:11" x14ac:dyDescent="0.35">
      <c r="A160" s="4" t="s">
        <v>111</v>
      </c>
      <c r="B160" s="4" t="s">
        <v>111</v>
      </c>
      <c r="C160" s="4" t="s">
        <v>111</v>
      </c>
      <c r="D160" s="4" t="s">
        <v>111</v>
      </c>
      <c r="E160" s="4" t="s">
        <v>78</v>
      </c>
      <c r="F160" s="4" t="s">
        <v>111</v>
      </c>
      <c r="G160" s="4" t="s">
        <v>111</v>
      </c>
      <c r="H160" s="4">
        <v>3000</v>
      </c>
      <c r="I160" s="4">
        <v>0</v>
      </c>
      <c r="J160" s="4">
        <v>0</v>
      </c>
      <c r="K160" s="4">
        <v>3000</v>
      </c>
    </row>
    <row r="161" spans="1:11" x14ac:dyDescent="0.35">
      <c r="A161" s="1" t="s">
        <v>494</v>
      </c>
      <c r="B161" s="1" t="s">
        <v>495</v>
      </c>
      <c r="C161" s="1" t="s">
        <v>89</v>
      </c>
      <c r="D161" s="1" t="s">
        <v>496</v>
      </c>
      <c r="E161" s="1" t="s">
        <v>497</v>
      </c>
      <c r="F161" s="1" t="s">
        <v>117</v>
      </c>
      <c r="G161" s="1" t="s">
        <v>377</v>
      </c>
      <c r="H161" s="1">
        <v>24000</v>
      </c>
      <c r="I161" s="1">
        <v>18000</v>
      </c>
      <c r="J161" s="1">
        <v>0</v>
      </c>
      <c r="K161" s="1">
        <v>6000</v>
      </c>
    </row>
    <row r="162" spans="1:11" ht="15" thickBot="1" x14ac:dyDescent="0.4">
      <c r="A162" s="1" t="s">
        <v>494</v>
      </c>
      <c r="B162" s="1" t="s">
        <v>495</v>
      </c>
      <c r="C162" s="1" t="s">
        <v>89</v>
      </c>
      <c r="D162" s="1" t="s">
        <v>496</v>
      </c>
      <c r="E162" s="1" t="s">
        <v>498</v>
      </c>
      <c r="F162" s="1" t="s">
        <v>117</v>
      </c>
      <c r="G162" s="1" t="s">
        <v>377</v>
      </c>
      <c r="H162" s="1">
        <v>27000</v>
      </c>
      <c r="I162" s="1">
        <v>0</v>
      </c>
      <c r="J162" s="1">
        <v>0</v>
      </c>
      <c r="K162" s="1">
        <v>27000</v>
      </c>
    </row>
    <row r="163" spans="1:11" x14ac:dyDescent="0.35">
      <c r="A163" s="4" t="s">
        <v>111</v>
      </c>
      <c r="B163" s="4" t="s">
        <v>111</v>
      </c>
      <c r="C163" s="4" t="s">
        <v>111</v>
      </c>
      <c r="D163" s="4" t="s">
        <v>111</v>
      </c>
      <c r="E163" s="4" t="s">
        <v>78</v>
      </c>
      <c r="F163" s="4" t="s">
        <v>111</v>
      </c>
      <c r="G163" s="4" t="s">
        <v>111</v>
      </c>
      <c r="H163" s="4">
        <v>51000</v>
      </c>
      <c r="I163" s="4">
        <v>18000</v>
      </c>
      <c r="J163" s="4">
        <v>0</v>
      </c>
      <c r="K163" s="4">
        <v>33000</v>
      </c>
    </row>
  </sheetData>
  <phoneticPr fontId="3" type="noConversion"/>
  <conditionalFormatting sqref="K8:K164">
    <cfRule type="cellIs" dxfId="0" priority="1" operator="lessThan">
      <formula>0</formula>
    </cfRule>
  </conditionalFormatting>
  <pageMargins left="0.75" right="0.75" top="1" bottom="1" header="0.5" footer="0.5"/>
  <pageSetup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.109375" defaultRowHeight="14.4" x14ac:dyDescent="0.35"/>
  <cols>
    <col min="1" max="1" width="18" style="1" customWidth="1"/>
    <col min="2" max="2" width="17.88671875" style="1" customWidth="1"/>
    <col min="3" max="3" width="16.109375" style="1" customWidth="1"/>
    <col min="4" max="4" width="15.33203125" style="1" customWidth="1"/>
    <col min="5" max="5" width="19" style="1" customWidth="1"/>
    <col min="6" max="6" width="17.88671875" style="1" customWidth="1"/>
    <col min="7" max="7" width="9.109375" style="1" customWidth="1"/>
    <col min="8" max="16384" width="9.109375" style="1"/>
  </cols>
  <sheetData>
    <row r="1" spans="1:3" x14ac:dyDescent="0.35">
      <c r="A1" s="2" t="s">
        <v>0</v>
      </c>
      <c r="C1" s="2" t="s">
        <v>499</v>
      </c>
    </row>
    <row r="2" spans="1:3" x14ac:dyDescent="0.35">
      <c r="A2" s="2" t="s">
        <v>3</v>
      </c>
      <c r="C2" s="2" t="s">
        <v>6</v>
      </c>
    </row>
  </sheetData>
  <phoneticPr fontId="3" type="noConversion"/>
  <pageMargins left="0.75" right="0.75" top="1" bottom="1" header="0.5" footer="0.5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Daily</vt:lpstr>
      <vt:lpstr>Weekly</vt:lpstr>
      <vt:lpstr>Monthly(12M)</vt:lpstr>
      <vt:lpstr>Daily+Weekly+Monthly</vt:lpstr>
      <vt:lpstr>Open PO</vt:lpstr>
      <vt:lpstr>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Weekly;Plant:15K0;Buyer:P43;Released Time:2026/03/02 08:13;Vendor:04Y-132371;Report Date:2026/03/02;VDS Num:VWG0282208;Vendor Name:PAN JIT INTERNATIONAL INC;Version:00;Daily+Weekly+Monthly;Plant:15K0;Buyer:P43;Released Time:2026/03/02 08:14;Vendor:04Y-132371;Report Date:2026/03/02;VDS Num:VXG0282328;Vendor Name:PAN JIT INTERNATIONAL INC;Version:00;</dc:description>
  <cp:lastModifiedBy>Wynrick Aelthor</cp:lastModifiedBy>
  <dcterms:modified xsi:type="dcterms:W3CDTF">2026-03-11T09:00:24Z</dcterms:modified>
  <cp:category/>
  <cp:contentStatus/>
</cp:coreProperties>
</file>