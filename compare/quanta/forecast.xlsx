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business_forecasting\compare\"/>
    </mc:Choice>
  </mc:AlternateContent>
  <xr:revisionPtr revIDLastSave="0" documentId="13_ncr:1_{61FAFC41-BFF1-4945-8B85-3791F98FF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Data!$A$4:$AW$4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</calcChain>
</file>

<file path=xl/sharedStrings.xml><?xml version="1.0" encoding="utf-8"?>
<sst xmlns="http://schemas.openxmlformats.org/spreadsheetml/2006/main" count="316" uniqueCount="184">
  <si>
    <t>筆數</t>
  </si>
  <si>
    <t>Web</t>
  </si>
  <si>
    <t>需求週數</t>
  </si>
  <si>
    <t/>
  </si>
  <si>
    <t>黃色為供應商可填入的欄位</t>
  </si>
  <si>
    <t>需求資料下載日期</t>
  </si>
  <si>
    <t>2025/10/01 09:35:24</t>
  </si>
  <si>
    <t>客戶名稱</t>
  </si>
  <si>
    <t>廣達電腦股份有限公司(QCI)</t>
  </si>
  <si>
    <t>綠色為系統計算的欄位</t>
  </si>
  <si>
    <t>客戶料號</t>
  </si>
  <si>
    <t>料號</t>
  </si>
  <si>
    <t>客戶採購代碼</t>
  </si>
  <si>
    <t>客戶需求地區</t>
  </si>
  <si>
    <t>缺料日期</t>
  </si>
  <si>
    <t>P
20000101
20250930</t>
  </si>
  <si>
    <t>D1
20250930
20250930</t>
  </si>
  <si>
    <t>D2
20251001
20251001</t>
  </si>
  <si>
    <t>D3
20251002
20251002</t>
  </si>
  <si>
    <t>D4
20251003
20251003</t>
  </si>
  <si>
    <t>D5
20251004
20251004</t>
  </si>
  <si>
    <t>D6
20251005
20251005</t>
  </si>
  <si>
    <t>D7
20251006
20251006</t>
  </si>
  <si>
    <t>D8
20251007
20251007</t>
  </si>
  <si>
    <t>D9
20251008
20251008</t>
  </si>
  <si>
    <t>D10
20251009
20251009</t>
  </si>
  <si>
    <t>D11
20251010
20251010</t>
  </si>
  <si>
    <t>D12
20251011
20251011</t>
  </si>
  <si>
    <t>D13
20251012
20251012</t>
  </si>
  <si>
    <t>D14
20251013
20251013</t>
  </si>
  <si>
    <t>W3
20251014
20251018</t>
  </si>
  <si>
    <t>W4
20251019
20251025</t>
  </si>
  <si>
    <t>W5
20251026
20251101</t>
  </si>
  <si>
    <t>W6
20251102
20251108</t>
  </si>
  <si>
    <t>W7
20251109
20251115</t>
  </si>
  <si>
    <t>W8
20251116
20251122</t>
  </si>
  <si>
    <t>W9
20251123
20251129</t>
  </si>
  <si>
    <t>W10
20251130
20251206</t>
  </si>
  <si>
    <t>W11
20251207
20251213</t>
  </si>
  <si>
    <t>W12
20251214
20251220</t>
  </si>
  <si>
    <t>W13
20251221
20251227</t>
  </si>
  <si>
    <t>W14
20251228
20260103</t>
  </si>
  <si>
    <t>W15
20260104
20260110</t>
  </si>
  <si>
    <t>W16
20260111
20260117</t>
  </si>
  <si>
    <t>W17
20260118
20260124</t>
  </si>
  <si>
    <t>W18
20260125
20260131</t>
  </si>
  <si>
    <t>W19
20260201
20260207</t>
  </si>
  <si>
    <t>W20
20260208
20260214</t>
  </si>
  <si>
    <t>W21
20260215
20260221</t>
  </si>
  <si>
    <t>W22
20260222
20260228</t>
  </si>
  <si>
    <t>W23
20260301
20260307</t>
  </si>
  <si>
    <t>W24
20260308
20260314</t>
  </si>
  <si>
    <t>W25
20260315
20260321</t>
  </si>
  <si>
    <t>BAM01380031</t>
  </si>
  <si>
    <t>BSS138-AU</t>
  </si>
  <si>
    <t>PJ1-PJT</t>
  </si>
  <si>
    <t>QMMC</t>
  </si>
  <si>
    <t>訂單剩餘數量</t>
  </si>
  <si>
    <t>時間種類</t>
  </si>
  <si>
    <t>P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</si>
  <si>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</si>
  <si>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</si>
  <si>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</si>
  <si>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</si>
  <si>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</si>
  <si>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</si>
  <si>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</si>
  <si>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</si>
  <si>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</si>
  <si>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</si>
  <si>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</si>
  <si>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</si>
  <si>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</si>
  <si>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</si>
  <si>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</si>
  <si>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</si>
  <si>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</si>
  <si>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</si>
  <si>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</si>
  <si>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</si>
  <si>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</si>
  <si>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</si>
  <si>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</si>
  <si>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</si>
  <si>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</si>
  <si>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</si>
  <si>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</si>
  <si>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</si>
  <si>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</si>
  <si>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</si>
  <si>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</si>
  <si>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</si>
  <si>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</si>
  <si>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</si>
  <si>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</si>
  <si>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</si>
  <si>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</si>
  <si>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EOL狀態</t>
  </si>
  <si>
    <t>開始時間</t>
  </si>
  <si>
    <t>20000101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</si>
  <si>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</si>
  <si>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</si>
  <si>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</si>
  <si>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</si>
  <si>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</si>
  <si>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</si>
  <si>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</si>
  <si>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</si>
  <si>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</si>
  <si>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</si>
  <si>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</si>
  <si>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</si>
  <si>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</si>
  <si>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</si>
  <si>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</si>
  <si>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20251019</t>
  </si>
  <si>
    <t>20251026</t>
  </si>
  <si>
    <t>20251102</t>
  </si>
  <si>
    <t>20251109</t>
  </si>
  <si>
    <t>20251116</t>
  </si>
  <si>
    <t>20251123</t>
  </si>
  <si>
    <t>20251130</t>
  </si>
  <si>
    <t>20251207</t>
  </si>
  <si>
    <t>20251214</t>
  </si>
  <si>
    <t>20251221</t>
  </si>
  <si>
    <t>20251228</t>
  </si>
  <si>
    <t>20260104</t>
  </si>
  <si>
    <t>20260111</t>
  </si>
  <si>
    <t>20260118</t>
  </si>
  <si>
    <t>20260125</t>
  </si>
  <si>
    <t>20260201</t>
  </si>
  <si>
    <t>20260208</t>
  </si>
  <si>
    <t>20260215</t>
  </si>
  <si>
    <t>20260222</t>
  </si>
  <si>
    <t>20260301</t>
  </si>
  <si>
    <t>20260308</t>
  </si>
  <si>
    <t>20260315</t>
  </si>
  <si>
    <t>B2B供應商</t>
  </si>
  <si>
    <t>N</t>
  </si>
  <si>
    <t>結束時間</t>
  </si>
  <si>
    <t>20251018</t>
  </si>
  <si>
    <t>20251025</t>
  </si>
  <si>
    <t>20251101</t>
  </si>
  <si>
    <t>20251108</t>
  </si>
  <si>
    <t>20251115</t>
  </si>
  <si>
    <t>20251122</t>
  </si>
  <si>
    <t>20251129</t>
  </si>
  <si>
    <t>20251206</t>
  </si>
  <si>
    <t>20251213</t>
  </si>
  <si>
    <t>20251220</t>
  </si>
  <si>
    <t>20251227</t>
  </si>
  <si>
    <t>20260103</t>
  </si>
  <si>
    <t>20260110</t>
  </si>
  <si>
    <t>20260117</t>
  </si>
  <si>
    <t>20260124</t>
  </si>
  <si>
    <t>20260131</t>
  </si>
  <si>
    <t>20260207</t>
  </si>
  <si>
    <t>20260214</t>
  </si>
  <si>
    <t>20260221</t>
  </si>
  <si>
    <t>20260228</t>
  </si>
  <si>
    <t>20260307</t>
  </si>
  <si>
    <t>20260314</t>
  </si>
  <si>
    <t>20260321</t>
  </si>
  <si>
    <t>需求數量</t>
  </si>
  <si>
    <t>今日庫存數量</t>
  </si>
  <si>
    <t>今日在途數量</t>
  </si>
  <si>
    <t>庫存數量</t>
  </si>
  <si>
    <t>在途數量</t>
  </si>
  <si>
    <t>收料數量</t>
  </si>
  <si>
    <t>Vendor Stock</t>
  </si>
  <si>
    <t>供應數量</t>
  </si>
  <si>
    <t>VOH (Non-CN HUB)</t>
  </si>
  <si>
    <t>結餘數量</t>
  </si>
  <si>
    <t>TWW-QSMC</t>
  </si>
  <si>
    <t>Hub剩餘數量</t>
  </si>
  <si>
    <t>ALP-QSMC</t>
  </si>
  <si>
    <t>JS-QSMC</t>
  </si>
  <si>
    <t>JY-QSMC</t>
  </si>
  <si>
    <t>GS-QSMC</t>
  </si>
  <si>
    <t>HS-QSMC</t>
  </si>
  <si>
    <t>TWW-QCMC</t>
  </si>
  <si>
    <t>XN-QCMC</t>
  </si>
  <si>
    <t>ZT-QCMC</t>
  </si>
  <si>
    <t>LS-QCMC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</si>
</sst>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ACD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>
      <alignment vertical="center"/>
    </xf>
    <xf numFmtId="3" fontId="1" fillId="4" borderId="1" xfId="0" applyNumberFormat="1" applyFont="1" applyFill="1" applyBorder="1">
      <alignment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>
      <alignment vertical="center"/>
    </xf>
    <xf numFmtId="3" fontId="1" fillId="5" borderId="1" xfId="0" applyNumberFormat="1" applyFont="1" applyFill="1" applyBorder="1">
      <alignment vertical="center"/>
    </xf>
    <xf numFmtId="3" fontId="1" fillId="2" borderId="1" xfId="0" applyNumberFormat="1" applyFont="1" applyFill="1" applyBorder="1" applyProtection="1">
      <alignment vertical="center"/>
      <protection locked="0"/>
    </xf>
    <xf numFmtId="38" fontId="1" fillId="3" borderId="1" xfId="0" applyNumberFormat="1" applyFont="1" applyFill="1" applyBorder="1">
      <alignment vertical="center"/>
    </xf>
  </cellXfs>
  <cellStyles count="1">
    <cellStyle name="一般" xfId="0" builtinId="0"/>
  </cellStyles>
  <dxfs count="19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"/>
  <sheetViews>
    <sheetView tabSelected="1" workbookViewId="0">
      <selection activeCell="G23" sqref="G23"/>
    </sheetView>
  </sheetViews>
  <sheetFormatPr defaultColWidth="9" defaultRowHeight="14.4" x14ac:dyDescent="0.3"/>
  <cols>
    <col min="1" max="1" width="14.6640625" style="1" customWidth="1"/>
    <col min="2" max="2" width="14.33203125" style="1" customWidth="1"/>
    <col min="3" max="11" width="9" style="1"/>
    <col min="12" max="49" width="11.5546875" style="1" bestFit="1" customWidth="1"/>
    <col min="50" max="16384" width="9" style="1"/>
  </cols>
  <sheetData>
    <row r="1" spans="1:49" x14ac:dyDescent="0.3">
      <c r="A1" s="1" t="s">
        <v>0</v>
      </c>
      <c r="B1" s="1">
        <v>573</v>
      </c>
      <c r="C1" s="1" t="s">
        <v>1</v>
      </c>
    </row>
    <row r="2" spans="1:49" x14ac:dyDescent="0.3">
      <c r="A2" s="1" t="s">
        <v>2</v>
      </c>
      <c r="B2" s="1">
        <v>25</v>
      </c>
      <c r="C2" s="2" t="s">
        <v>3</v>
      </c>
      <c r="D2" s="1" t="s">
        <v>4</v>
      </c>
      <c r="E2" s="1" t="s">
        <v>5</v>
      </c>
      <c r="F2" s="1" t="s">
        <v>6</v>
      </c>
    </row>
    <row r="3" spans="1:49" x14ac:dyDescent="0.3">
      <c r="A3" s="1" t="s">
        <v>7</v>
      </c>
      <c r="B3" s="1" t="s">
        <v>8</v>
      </c>
      <c r="C3" s="3" t="s">
        <v>3</v>
      </c>
      <c r="D3" s="1" t="s">
        <v>9</v>
      </c>
    </row>
    <row r="4" spans="1:49" s="4" customFormat="1" ht="45" customHeight="1" x14ac:dyDescent="0.3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4" t="s">
        <v>37</v>
      </c>
      <c r="AI4" s="4" t="s">
        <v>38</v>
      </c>
      <c r="AJ4" s="4" t="s">
        <v>39</v>
      </c>
      <c r="AK4" s="4" t="s">
        <v>40</v>
      </c>
      <c r="AL4" s="4" t="s">
        <v>41</v>
      </c>
      <c r="AM4" s="4" t="s">
        <v>42</v>
      </c>
      <c r="AN4" s="4" t="s">
        <v>43</v>
      </c>
      <c r="AO4" s="4" t="s">
        <v>44</v>
      </c>
      <c r="AP4" s="4" t="s">
        <v>45</v>
      </c>
      <c r="AQ4" s="4" t="s">
        <v>46</v>
      </c>
      <c r="AR4" s="4" t="s">
        <v>47</v>
      </c>
      <c r="AS4" s="4" t="s">
        <v>48</v>
      </c>
      <c r="AT4" s="4" t="s">
        <v>49</v>
      </c>
      <c r="AU4" s="4" t="s">
        <v>50</v>
      </c>
      <c r="AV4" s="4" t="s">
        <v>51</v>
      </c>
      <c r="AW4" s="4" t="s">
        <v>52</v>
      </c>
    </row>
    <row r="5" spans="1:49" x14ac:dyDescent="0.3">
      <c r="A5" s="5" t="s">
        <v>53</v>
      </c>
      <c r="B5" s="5" t="s">
        <v>54</v>
      </c>
      <c r="C5" s="5" t="s">
        <v>55</v>
      </c>
      <c r="D5" s="5" t="s">
        <v>56</v>
      </c>
      <c r="E5" s="5" t="str">
        <f>IF(L11&lt;0,L5,IF(MATCH(-1,K11:AW11,-1)=39,"No",INDEX(L5:AW5,1,MATCH(-1,K11:AW11,-1))))</f>
        <v>W15</v>
      </c>
      <c r="F5" s="5" t="s">
        <v>57</v>
      </c>
      <c r="G5" s="6">
        <v>234000</v>
      </c>
      <c r="H5" s="5" t="s">
        <v>12</v>
      </c>
      <c r="I5" s="5" t="s">
        <v>55</v>
      </c>
      <c r="J5" s="5" t="s">
        <v>3</v>
      </c>
      <c r="K5" s="5" t="s">
        <v>58</v>
      </c>
      <c r="L5" s="5" t="s">
        <v>59</v>
      </c>
      <c r="M5" s="5" t="s">
        <v>60</v>
      </c>
      <c r="N5" s="5" t="s">
        <v>61</v>
      </c>
      <c r="O5" s="5" t="s">
        <v>62</v>
      </c>
      <c r="P5" s="5" t="s">
        <v>63</v>
      </c>
      <c r="Q5" s="5" t="s">
        <v>64</v>
      </c>
      <c r="R5" s="5" t="s">
        <v>65</v>
      </c>
      <c r="S5" s="5" t="s">
        <v>66</v>
      </c>
      <c r="T5" s="5" t="s">
        <v>67</v>
      </c>
      <c r="U5" s="5" t="s">
        <v>68</v>
      </c>
      <c r="V5" s="5" t="s">
        <v>69</v>
      </c>
      <c r="W5" s="5" t="s">
        <v>70</v>
      </c>
      <c r="X5" s="5" t="s">
        <v>71</v>
      </c>
      <c r="Y5" s="5" t="s">
        <v>72</v>
      </c>
      <c r="Z5" s="5" t="s">
        <v>73</v>
      </c>
      <c r="AA5" s="5" t="s">
        <v>74</v>
      </c>
      <c r="AB5" s="5" t="s">
        <v>75</v>
      </c>
      <c r="AC5" s="5" t="s">
        <v>76</v>
      </c>
      <c r="AD5" s="5" t="s">
        <v>77</v>
      </c>
      <c r="AE5" s="5" t="s">
        <v>78</v>
      </c>
      <c r="AF5" s="5" t="s">
        <v>79</v>
      </c>
      <c r="AG5" s="5" t="s">
        <v>80</v>
      </c>
      <c r="AH5" s="5" t="s">
        <v>81</v>
      </c>
      <c r="AI5" s="5" t="s">
        <v>82</v>
      </c>
      <c r="AJ5" s="5" t="s">
        <v>83</v>
      </c>
      <c r="AK5" s="5" t="s">
        <v>84</v>
      </c>
      <c r="AL5" s="5" t="s">
        <v>85</v>
      </c>
      <c r="AM5" s="5" t="s">
        <v>86</v>
      </c>
      <c r="AN5" s="5" t="s">
        <v>87</v>
      </c>
      <c r="AO5" s="5" t="s">
        <v>88</v>
      </c>
      <c r="AP5" s="5" t="s">
        <v>89</v>
      </c>
      <c r="AQ5" s="5" t="s">
        <v>90</v>
      </c>
      <c r="AR5" s="5" t="s">
        <v>91</v>
      </c>
      <c r="AS5" s="5" t="s">
        <v>92</v>
      </c>
      <c r="AT5" s="5" t="s">
        <v>93</v>
      </c>
      <c r="AU5" s="5" t="s">
        <v>94</v>
      </c>
      <c r="AV5" s="5" t="s">
        <v>95</v>
      </c>
      <c r="AW5" s="5" t="s">
        <v>96</v>
      </c>
    </row>
    <row r="6" spans="1:49" x14ac:dyDescent="0.3">
      <c r="A6" s="5" t="s">
        <v>53</v>
      </c>
      <c r="B6" s="5" t="s">
        <v>54</v>
      </c>
      <c r="C6" s="5" t="s">
        <v>55</v>
      </c>
      <c r="D6" s="5" t="s">
        <v>56</v>
      </c>
      <c r="E6" s="5" t="str">
        <f t="shared" ref="E6:E21" si="0">E5</f>
        <v>W15</v>
      </c>
      <c r="F6" s="5" t="s">
        <v>97</v>
      </c>
      <c r="G6" s="5" t="s">
        <v>3</v>
      </c>
      <c r="H6" s="5" t="s">
        <v>10</v>
      </c>
      <c r="I6" s="5" t="s">
        <v>53</v>
      </c>
      <c r="J6" s="5" t="s">
        <v>3</v>
      </c>
      <c r="K6" s="5" t="s">
        <v>98</v>
      </c>
      <c r="L6" s="5" t="s">
        <v>99</v>
      </c>
      <c r="M6" s="5" t="s">
        <v>100</v>
      </c>
      <c r="N6" s="5" t="s">
        <v>101</v>
      </c>
      <c r="O6" s="5" t="s">
        <v>102</v>
      </c>
      <c r="P6" s="5" t="s">
        <v>103</v>
      </c>
      <c r="Q6" s="5" t="s">
        <v>104</v>
      </c>
      <c r="R6" s="5" t="s">
        <v>105</v>
      </c>
      <c r="S6" s="5" t="s">
        <v>106</v>
      </c>
      <c r="T6" s="5" t="s">
        <v>107</v>
      </c>
      <c r="U6" s="5" t="s">
        <v>108</v>
      </c>
      <c r="V6" s="5" t="s">
        <v>109</v>
      </c>
      <c r="W6" s="5" t="s">
        <v>110</v>
      </c>
      <c r="X6" s="5" t="s">
        <v>111</v>
      </c>
      <c r="Y6" s="5" t="s">
        <v>112</v>
      </c>
      <c r="Z6" s="5" t="s">
        <v>113</v>
      </c>
      <c r="AA6" s="5" t="s">
        <v>114</v>
      </c>
      <c r="AB6" s="5" t="s">
        <v>115</v>
      </c>
      <c r="AC6" s="5" t="s">
        <v>116</v>
      </c>
      <c r="AD6" s="5" t="s">
        <v>117</v>
      </c>
      <c r="AE6" s="5" t="s">
        <v>118</v>
      </c>
      <c r="AF6" s="5" t="s">
        <v>119</v>
      </c>
      <c r="AG6" s="5" t="s">
        <v>120</v>
      </c>
      <c r="AH6" s="5" t="s">
        <v>121</v>
      </c>
      <c r="AI6" s="5" t="s">
        <v>122</v>
      </c>
      <c r="AJ6" s="5" t="s">
        <v>123</v>
      </c>
      <c r="AK6" s="5" t="s">
        <v>124</v>
      </c>
      <c r="AL6" s="5" t="s">
        <v>125</v>
      </c>
      <c r="AM6" s="5" t="s">
        <v>126</v>
      </c>
      <c r="AN6" s="5" t="s">
        <v>127</v>
      </c>
      <c r="AO6" s="5" t="s">
        <v>128</v>
      </c>
      <c r="AP6" s="5" t="s">
        <v>129</v>
      </c>
      <c r="AQ6" s="5" t="s">
        <v>130</v>
      </c>
      <c r="AR6" s="5" t="s">
        <v>131</v>
      </c>
      <c r="AS6" s="5" t="s">
        <v>132</v>
      </c>
      <c r="AT6" s="5" t="s">
        <v>133</v>
      </c>
      <c r="AU6" s="5" t="s">
        <v>134</v>
      </c>
      <c r="AV6" s="5" t="s">
        <v>135</v>
      </c>
      <c r="AW6" s="5" t="s">
        <v>136</v>
      </c>
    </row>
    <row r="7" spans="1:49" x14ac:dyDescent="0.3">
      <c r="A7" s="5" t="s">
        <v>53</v>
      </c>
      <c r="B7" s="5" t="s">
        <v>54</v>
      </c>
      <c r="C7" s="5" t="s">
        <v>55</v>
      </c>
      <c r="D7" s="5" t="s">
        <v>56</v>
      </c>
      <c r="E7" s="5" t="str">
        <f t="shared" si="0"/>
        <v>W15</v>
      </c>
      <c r="F7" s="5" t="s">
        <v>137</v>
      </c>
      <c r="G7" s="5" t="s">
        <v>138</v>
      </c>
      <c r="H7" s="5" t="s">
        <v>11</v>
      </c>
      <c r="I7" s="5" t="s">
        <v>54</v>
      </c>
      <c r="J7" s="5" t="s">
        <v>3</v>
      </c>
      <c r="K7" s="5" t="s">
        <v>139</v>
      </c>
      <c r="L7" s="5" t="s">
        <v>100</v>
      </c>
      <c r="M7" s="5" t="s">
        <v>100</v>
      </c>
      <c r="N7" s="5" t="s">
        <v>101</v>
      </c>
      <c r="O7" s="5" t="s">
        <v>102</v>
      </c>
      <c r="P7" s="5" t="s">
        <v>103</v>
      </c>
      <c r="Q7" s="5" t="s">
        <v>104</v>
      </c>
      <c r="R7" s="5" t="s">
        <v>105</v>
      </c>
      <c r="S7" s="5" t="s">
        <v>106</v>
      </c>
      <c r="T7" s="5" t="s">
        <v>107</v>
      </c>
      <c r="U7" s="5" t="s">
        <v>108</v>
      </c>
      <c r="V7" s="5" t="s">
        <v>109</v>
      </c>
      <c r="W7" s="5" t="s">
        <v>110</v>
      </c>
      <c r="X7" s="5" t="s">
        <v>111</v>
      </c>
      <c r="Y7" s="5" t="s">
        <v>112</v>
      </c>
      <c r="Z7" s="5" t="s">
        <v>113</v>
      </c>
      <c r="AA7" s="5" t="s">
        <v>140</v>
      </c>
      <c r="AB7" s="5" t="s">
        <v>141</v>
      </c>
      <c r="AC7" s="5" t="s">
        <v>142</v>
      </c>
      <c r="AD7" s="5" t="s">
        <v>143</v>
      </c>
      <c r="AE7" s="5" t="s">
        <v>144</v>
      </c>
      <c r="AF7" s="5" t="s">
        <v>145</v>
      </c>
      <c r="AG7" s="5" t="s">
        <v>146</v>
      </c>
      <c r="AH7" s="5" t="s">
        <v>147</v>
      </c>
      <c r="AI7" s="5" t="s">
        <v>148</v>
      </c>
      <c r="AJ7" s="5" t="s">
        <v>149</v>
      </c>
      <c r="AK7" s="5" t="s">
        <v>150</v>
      </c>
      <c r="AL7" s="5" t="s">
        <v>151</v>
      </c>
      <c r="AM7" s="5" t="s">
        <v>152</v>
      </c>
      <c r="AN7" s="5" t="s">
        <v>153</v>
      </c>
      <c r="AO7" s="5" t="s">
        <v>154</v>
      </c>
      <c r="AP7" s="5" t="s">
        <v>155</v>
      </c>
      <c r="AQ7" s="5" t="s">
        <v>156</v>
      </c>
      <c r="AR7" s="5" t="s">
        <v>157</v>
      </c>
      <c r="AS7" s="5" t="s">
        <v>158</v>
      </c>
      <c r="AT7" s="5" t="s">
        <v>159</v>
      </c>
      <c r="AU7" s="5" t="s">
        <v>160</v>
      </c>
      <c r="AV7" s="5" t="s">
        <v>161</v>
      </c>
      <c r="AW7" s="5" t="s">
        <v>162</v>
      </c>
    </row>
    <row r="8" spans="1:49" x14ac:dyDescent="0.3">
      <c r="A8" s="5" t="s">
        <v>53</v>
      </c>
      <c r="B8" s="5" t="s">
        <v>54</v>
      </c>
      <c r="C8" s="5" t="s">
        <v>55</v>
      </c>
      <c r="D8" s="5" t="s">
        <v>56</v>
      </c>
      <c r="E8" s="5" t="str">
        <f t="shared" si="0"/>
        <v>W15</v>
      </c>
      <c r="F8" s="5"/>
      <c r="G8" s="5"/>
      <c r="H8" s="5" t="s">
        <v>13</v>
      </c>
      <c r="I8" s="5" t="s">
        <v>56</v>
      </c>
      <c r="J8" s="5" t="s">
        <v>3</v>
      </c>
      <c r="K8" s="5" t="s">
        <v>163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6000</v>
      </c>
      <c r="AN8" s="6">
        <v>12000</v>
      </c>
      <c r="AO8" s="6">
        <v>3000</v>
      </c>
      <c r="AP8" s="6">
        <v>15000</v>
      </c>
      <c r="AQ8" s="6">
        <v>12000</v>
      </c>
      <c r="AR8" s="6">
        <v>3000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</row>
    <row r="9" spans="1:49" x14ac:dyDescent="0.3">
      <c r="A9" s="5" t="s">
        <v>53</v>
      </c>
      <c r="B9" s="5" t="s">
        <v>54</v>
      </c>
      <c r="C9" s="5" t="s">
        <v>55</v>
      </c>
      <c r="D9" s="5" t="s">
        <v>56</v>
      </c>
      <c r="E9" s="5" t="str">
        <f t="shared" si="0"/>
        <v>W15</v>
      </c>
      <c r="F9" s="5" t="s">
        <v>164</v>
      </c>
      <c r="G9" s="5" t="s">
        <v>165</v>
      </c>
      <c r="H9" s="5" t="s">
        <v>3</v>
      </c>
      <c r="I9" s="5" t="s">
        <v>166</v>
      </c>
      <c r="J9" s="5" t="s">
        <v>167</v>
      </c>
      <c r="K9" s="5" t="s">
        <v>168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</row>
    <row r="10" spans="1:49" x14ac:dyDescent="0.3">
      <c r="A10" s="5" t="s">
        <v>53</v>
      </c>
      <c r="B10" s="5" t="s">
        <v>54</v>
      </c>
      <c r="C10" s="5" t="s">
        <v>55</v>
      </c>
      <c r="D10" s="5" t="s">
        <v>56</v>
      </c>
      <c r="E10" s="5" t="str">
        <f t="shared" si="0"/>
        <v>W15</v>
      </c>
      <c r="F10" s="9">
        <v>0</v>
      </c>
      <c r="G10" s="9">
        <v>0</v>
      </c>
      <c r="H10" s="5" t="s">
        <v>169</v>
      </c>
      <c r="I10" s="10">
        <v>0</v>
      </c>
      <c r="J10" s="9">
        <v>0</v>
      </c>
      <c r="K10" s="5" t="s">
        <v>170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</row>
    <row r="11" spans="1:49" x14ac:dyDescent="0.3">
      <c r="A11" s="5" t="s">
        <v>53</v>
      </c>
      <c r="B11" s="5" t="s">
        <v>54</v>
      </c>
      <c r="C11" s="5" t="s">
        <v>55</v>
      </c>
      <c r="D11" s="5" t="s">
        <v>56</v>
      </c>
      <c r="E11" s="5" t="str">
        <f t="shared" si="0"/>
        <v>W15</v>
      </c>
      <c r="F11" s="9">
        <v>0</v>
      </c>
      <c r="G11" s="9">
        <v>0</v>
      </c>
      <c r="H11" s="5" t="s">
        <v>171</v>
      </c>
      <c r="I11" s="9">
        <v>0</v>
      </c>
      <c r="J11" s="9">
        <v>0</v>
      </c>
      <c r="K11" s="5" t="s">
        <v>172</v>
      </c>
      <c r="L11" s="11">
        <f>IF(SUM(K8:L8)&gt;0,SUM(I10:J21)+SUM(K10:L10)-SUM(K9:L9)-SUM(K8:L8),IF(SUM(I10:J21)+SUM(K10:L10)-SUM(K9:L9)&lt;0,0,SUM(I10:J21)+SUM(K10:L10)-SUM(K9:L9))-SUM(K8:L8))</f>
        <v>0</v>
      </c>
      <c r="M11" s="11">
        <f>IF(SUM(K8:M8)&gt;0,SUM(I10:J21)+SUM(K10:L10)-SUM(K9:L9)-SUM(K8:M8),IF(SUM(I10:J21)+SUM(K10:L10)-SUM(K9:L9)&lt;0,0,SUM(I10:J21)+SUM(K10:L10)-SUM(K9:L9))-SUM(K8:M8))</f>
        <v>0</v>
      </c>
      <c r="N11" s="11">
        <f>IF(SUM(K8:N8)&gt;0,SUM(I10:J21)+SUM(K10:M10)-SUM(K9:M9)-SUM(K8:N8),IF(SUM(I10:J21)+SUM(K10:M10)-SUM(K9:M9)&lt;0,0,SUM(I10:J21)+SUM(K10:M10)-SUM(K9:M9))-SUM(K8:N8))</f>
        <v>0</v>
      </c>
      <c r="O11" s="11">
        <f>IF(SUM(K8:O8)&gt;0,SUM(I10:J21)+SUM(K10:N10)-SUM(K9:N9)-SUM(K8:O8),IF(SUM(I10:J21)+SUM(K10:N10)-SUM(K9:N9)&lt;0,0,SUM(I10:J21)+SUM(K10:N10)-SUM(K9:N9))-SUM(K8:O8))</f>
        <v>0</v>
      </c>
      <c r="P11" s="11">
        <f>IF(SUM(K8:P8)&gt;0,SUM(I10:J21)+SUM(K10:O10)-SUM(K9:O9)-SUM(K8:P8),IF(SUM(I10:J21)+SUM(K10:O10)-SUM(K9:O9)&lt;0,0,SUM(I10:J21)+SUM(K10:O10)-SUM(K9:O9))-SUM(K8:P8))</f>
        <v>0</v>
      </c>
      <c r="Q11" s="11">
        <f>IF(SUM(K8:Q8)&gt;0,SUM(I10:J21)+SUM(K10:P10)-SUM(K9:P9)-SUM(K8:Q8),IF(SUM(I10:J21)+SUM(K10:P10)-SUM(K9:P9)&lt;0,0,SUM(I10:J21)+SUM(K10:P10)-SUM(K9:P9))-SUM(K8:Q8))</f>
        <v>0</v>
      </c>
      <c r="R11" s="11">
        <f>IF(SUM(K8:R8)&gt;0,SUM(I10:J21)+SUM(K10:Q10)-SUM(K9:Q9)-SUM(K8:R8),IF(SUM(I10:J21)+SUM(K10:Q10)-SUM(K9:Q9)&lt;0,0,SUM(I10:J21)+SUM(K10:Q10)-SUM(K9:Q9))-SUM(K8:R8))</f>
        <v>0</v>
      </c>
      <c r="S11" s="11">
        <f>IF(SUM(K8:S8)&gt;0,SUM(I10:J21)+SUM(K10:R10)-SUM(K9:R9)-SUM(K8:S8),IF(SUM(I10:J21)+SUM(K10:R10)-SUM(K9:R9)&lt;0,0,SUM(I10:J21)+SUM(K10:R10)-SUM(K9:R9))-SUM(K8:S8))</f>
        <v>0</v>
      </c>
      <c r="T11" s="11">
        <f>IF(SUM(K8:T8)&gt;0,SUM(I10:J21)+SUM(K10:S10)-SUM(K9:S9)-SUM(K8:T8),IF(SUM(I10:J21)+SUM(K10:S10)-SUM(K9:S9)&lt;0,0,SUM(I10:J21)+SUM(K10:S10)-SUM(K9:S9))-SUM(K8:T8))</f>
        <v>0</v>
      </c>
      <c r="U11" s="11">
        <f>IF(SUM(K8:U8)&gt;0,SUM(I10:J21)+SUM(K10:T10)-SUM(K9:T9)-SUM(K8:U8),IF(SUM(I10:J21)+SUM(K10:T10)-SUM(K9:T9)&lt;0,0,SUM(I10:J21)+SUM(K10:T10)-SUM(K9:T9))-SUM(K8:U8))</f>
        <v>0</v>
      </c>
      <c r="V11" s="11">
        <f>IF(SUM(K8:V8)&gt;0,SUM(I10:J21)+SUM(K10:U10)-SUM(K9:U9)-SUM(K8:V8),IF(SUM(I10:J21)+SUM(K10:U10)-SUM(K9:U9)&lt;0,0,SUM(I10:J21)+SUM(K10:U10)-SUM(K9:U9))-SUM(K8:V8))</f>
        <v>0</v>
      </c>
      <c r="W11" s="11">
        <f>IF(SUM(K8:W8)&gt;0,SUM(I10:J21)+SUM(K10:V10)-SUM(K9:V9)-SUM(K8:W8),IF(SUM(I10:J21)+SUM(K10:V10)-SUM(K9:V9)&lt;0,0,SUM(I10:J21)+SUM(K10:V10)-SUM(K9:V9))-SUM(K8:W8))</f>
        <v>0</v>
      </c>
      <c r="X11" s="11">
        <f>IF(SUM(K8:X8)&gt;0,SUM(I10:J21)+SUM(K10:W10)-SUM(K9:W9)-SUM(K8:X8),IF(SUM(I10:J21)+SUM(K10:W10)-SUM(K9:W9)&lt;0,0,SUM(I10:J21)+SUM(K10:W10)-SUM(K9:W9))-SUM(K8:X8))</f>
        <v>0</v>
      </c>
      <c r="Y11" s="11">
        <f>IF(SUM(K8:Y8)&gt;0,SUM(I10:J21)+SUM(K10:X10)-SUM(K9:X9)-SUM(K8:Y8),IF(SUM(I10:J21)+SUM(K10:X10)-SUM(K9:X9)&lt;0,0,SUM(I10:J21)+SUM(K10:X10)-SUM(K9:X9))-SUM(K8:Y8))</f>
        <v>0</v>
      </c>
      <c r="Z11" s="11">
        <f>IF(SUM(K8:Z8)&gt;0,SUM(I10:J21)+SUM(K10:Y10)-SUM(K9:Y9)-SUM(K8:Z8),IF(SUM(I10:J21)+SUM(K10:Y10)-SUM(K9:Y9)&lt;0,0,SUM(I10:J21)+SUM(K10:Y10)-SUM(K9:Y9))-SUM(K8:Z8))</f>
        <v>0</v>
      </c>
      <c r="AA11" s="11">
        <f>IF(SUM(K8:AA8)&gt;0,SUM(I10:J21)+SUM(K10:AA10)-SUM(K9:AA9)-SUM(K8:AA8),IF(SUM(I10:J21)+SUM(K10:AA10)-SUM(K9:AA9)&lt;0,0,SUM(I10:J21)+SUM(K10:AA10)-SUM(K9:AA9))-SUM(K8:AA8))</f>
        <v>0</v>
      </c>
      <c r="AB11" s="11">
        <f>IF(SUM(K8:AB8)&gt;0,SUM(I10:J21)+SUM(K10:AB10)-SUM(K9:AB9)-SUM(K8:AB8),IF(SUM(I10:J21)+SUM(K10:AB10)-SUM(K9:AB9)&lt;0,0,SUM(I10:J21)+SUM(K10:AB10)-SUM(K9:AB9))-SUM(K8:AB8))</f>
        <v>0</v>
      </c>
      <c r="AC11" s="11">
        <f>IF(SUM(K8:AC8)&gt;0,SUM(I10:J21)+SUM(K10:AC10)-SUM(K9:AC9)-SUM(K8:AC8),IF(SUM(I10:J21)+SUM(K10:AC10)-SUM(K9:AC9)&lt;0,0,SUM(I10:J21)+SUM(K10:AC10)-SUM(K9:AC9))-SUM(K8:AC8))</f>
        <v>0</v>
      </c>
      <c r="AD11" s="11">
        <f>IF(SUM(K8:AD8)&gt;0,SUM(I10:J21)+SUM(K10:AD10)-SUM(K9:AD9)-SUM(K8:AD8),IF(SUM(I10:J21)+SUM(K10:AD10)-SUM(K9:AD9)&lt;0,0,SUM(I10:J21)+SUM(K10:AD10)-SUM(K9:AD9))-SUM(K8:AD8))</f>
        <v>0</v>
      </c>
      <c r="AE11" s="11">
        <f>IF(SUM(K8:AE8)&gt;0,SUM(I10:J21)+SUM(K10:AE10)-SUM(K9:AE9)-SUM(K8:AE8),IF(SUM(I10:J21)+SUM(K10:AE10)-SUM(K9:AE9)&lt;0,0,SUM(I10:J21)+SUM(K10:AE10)-SUM(K9:AE9))-SUM(K8:AE8))</f>
        <v>0</v>
      </c>
      <c r="AF11" s="11">
        <f>IF(SUM(K8:AF8)&gt;0,SUM(I10:J21)+SUM(K10:AF10)-SUM(K9:AF9)-SUM(K8:AF8),IF(SUM(I10:J21)+SUM(K10:AF10)-SUM(K9:AF9)&lt;0,0,SUM(I10:J21)+SUM(K10:AF10)-SUM(K9:AF9))-SUM(K8:AF8))</f>
        <v>0</v>
      </c>
      <c r="AG11" s="11">
        <f>IF(SUM(K8:AG8)&gt;0,SUM(I10:J21)+SUM(K10:AG10)-SUM(K9:AG9)-SUM(K8:AG8),IF(SUM(I10:J21)+SUM(K10:AG10)-SUM(K9:AG9)&lt;0,0,SUM(I10:J21)+SUM(K10:AG10)-SUM(K9:AG9))-SUM(K8:AG8))</f>
        <v>0</v>
      </c>
      <c r="AH11" s="11">
        <f>IF(SUM(K8:AH8)&gt;0,SUM(I10:J21)+SUM(K10:AH10)-SUM(K9:AH9)-SUM(K8:AH8),IF(SUM(I10:J21)+SUM(K10:AH10)-SUM(K9:AH9)&lt;0,0,SUM(I10:J21)+SUM(K10:AH10)-SUM(K9:AH9))-SUM(K8:AH8))</f>
        <v>0</v>
      </c>
      <c r="AI11" s="11">
        <f>IF(SUM(K8:AI8)&gt;0,SUM(I10:J21)+SUM(K10:AI10)-SUM(K9:AI9)-SUM(K8:AI8),IF(SUM(I10:J21)+SUM(K10:AI10)-SUM(K9:AI9)&lt;0,0,SUM(I10:J21)+SUM(K10:AI10)-SUM(K9:AI9))-SUM(K8:AI8))</f>
        <v>0</v>
      </c>
      <c r="AJ11" s="11">
        <f>IF(SUM(K8:AJ8)&gt;0,SUM(I10:J21)+SUM(K10:AJ10)-SUM(K9:AJ9)-SUM(K8:AJ8),IF(SUM(I10:J21)+SUM(K10:AJ10)-SUM(K9:AJ9)&lt;0,0,SUM(I10:J21)+SUM(K10:AJ10)-SUM(K9:AJ9))-SUM(K8:AJ8))</f>
        <v>0</v>
      </c>
      <c r="AK11" s="11">
        <f>IF(SUM(K8:AK8)&gt;0,SUM(I10:J21)+SUM(K10:AK10)-SUM(K9:AK9)-SUM(K8:AK8),IF(SUM(I10:J21)+SUM(K10:AK10)-SUM(K9:AK9)&lt;0,0,SUM(I10:J21)+SUM(K10:AK10)-SUM(K9:AK9))-SUM(K8:AK8))</f>
        <v>0</v>
      </c>
      <c r="AL11" s="11">
        <f>IF(SUM(K8:AL8)&gt;0,SUM(I10:J21)+SUM(K10:AL10)-SUM(K9:AL9)-SUM(K8:AL8),IF(SUM(I10:J21)+SUM(K10:AL10)-SUM(K9:AL9)&lt;0,0,SUM(I10:J21)+SUM(K10:AL10)-SUM(K9:AL9))-SUM(K8:AL8))</f>
        <v>0</v>
      </c>
      <c r="AM11" s="11">
        <f>IF(SUM(K8:AM8)&gt;0,SUM(I10:J21)+SUM(K10:AM10)-SUM(K9:AM9)-SUM(K8:AM8),IF(SUM(I10:J21)+SUM(K10:AM10)-SUM(K9:AM9)&lt;0,0,SUM(I10:J21)+SUM(K10:AM10)-SUM(K9:AM9))-SUM(K8:AM8))</f>
        <v>-6000</v>
      </c>
      <c r="AN11" s="11">
        <f>IF(SUM(K8:AN8)&gt;0,SUM(I10:J21)+SUM(K10:AN10)-SUM(K9:AN9)-SUM(K8:AN8),IF(SUM(I10:J21)+SUM(K10:AN10)-SUM(K9:AN9)&lt;0,0,SUM(I10:J21)+SUM(K10:AN10)-SUM(K9:AN9))-SUM(K8:AN8))</f>
        <v>-18000</v>
      </c>
      <c r="AO11" s="11">
        <f>IF(SUM(K8:AO8)&gt;0,SUM(I10:J21)+SUM(K10:AO10)-SUM(K9:AO9)-SUM(K8:AO8),IF(SUM(I10:J21)+SUM(K10:AO10)-SUM(K9:AO9)&lt;0,0,SUM(I10:J21)+SUM(K10:AO10)-SUM(K9:AO9))-SUM(K8:AO8))</f>
        <v>-21000</v>
      </c>
      <c r="AP11" s="11">
        <f>IF(SUM(K8:AP8)&gt;0,SUM(I10:J21)+SUM(K10:AP10)-SUM(K9:AP9)-SUM(K8:AP8),IF(SUM(I10:J21)+SUM(K10:AP10)-SUM(K9:AP9)&lt;0,0,SUM(I10:J21)+SUM(K10:AP10)-SUM(K9:AP9))-SUM(K8:AP8))</f>
        <v>-36000</v>
      </c>
      <c r="AQ11" s="11">
        <f>IF(SUM(K8:AQ8)&gt;0,SUM(I10:J21)+SUM(K10:AQ10)-SUM(K9:AQ9)-SUM(K8:AQ8),IF(SUM(I10:J21)+SUM(K10:AQ10)-SUM(K9:AQ9)&lt;0,0,SUM(I10:J21)+SUM(K10:AQ10)-SUM(K9:AQ9))-SUM(K8:AQ8))</f>
        <v>-48000</v>
      </c>
      <c r="AR11" s="11">
        <f>IF(SUM(K8:AR8)&gt;0,SUM(I10:J21)+SUM(K10:AR10)-SUM(K9:AR9)-SUM(K8:AR8),IF(SUM(I10:J21)+SUM(K10:AR10)-SUM(K9:AR9)&lt;0,0,SUM(I10:J21)+SUM(K10:AR10)-SUM(K9:AR9))-SUM(K8:AR8))</f>
        <v>-51000</v>
      </c>
      <c r="AS11" s="11">
        <f>IF(SUM(K8:AS8)&gt;0,SUM(I10:J21)+SUM(K10:AS10)-SUM(K9:AS9)-SUM(K8:AS8),IF(SUM(I10:J21)+SUM(K10:AS10)-SUM(K9:AS9)&lt;0,0,SUM(I10:J21)+SUM(K10:AS10)-SUM(K9:AS9))-SUM(K8:AS8))</f>
        <v>-51000</v>
      </c>
      <c r="AT11" s="11">
        <f>IF(SUM(K8:AT8)&gt;0,SUM(I10:J21)+SUM(K10:AT10)-SUM(K9:AT9)-SUM(K8:AT8),IF(SUM(I10:J21)+SUM(K10:AT10)-SUM(K9:AT9)&lt;0,0,SUM(I10:J21)+SUM(K10:AT10)-SUM(K9:AT9))-SUM(K8:AT8))</f>
        <v>-51000</v>
      </c>
      <c r="AU11" s="11">
        <f>IF(SUM(K8:AU8)&gt;0,SUM(I10:J21)+SUM(K10:AU10)-SUM(K9:AU9)-SUM(K8:AU8),IF(SUM(I10:J21)+SUM(K10:AU10)-SUM(K9:AU9)&lt;0,0,SUM(I10:J21)+SUM(K10:AU10)-SUM(K9:AU9))-SUM(K8:AU8))</f>
        <v>-51000</v>
      </c>
      <c r="AV11" s="11">
        <f>IF(SUM(K8:AV8)&gt;0,SUM(I10:J21)+SUM(K10:AV10)-SUM(K9:AV9)-SUM(K8:AV8),IF(SUM(I10:J21)+SUM(K10:AV10)-SUM(K9:AV9)&lt;0,0,SUM(I10:J21)+SUM(K10:AV10)-SUM(K9:AV9))-SUM(K8:AV8))</f>
        <v>-51000</v>
      </c>
      <c r="AW11" s="11">
        <f>IF(SUM(K8:AW8)&gt;0,SUM(I10:J21)+SUM(K10:AW10)-SUM(K9:AW9)-SUM(K8:AW8),IF(SUM(I10:J21)+SUM(K10:AW10)-SUM(K9:AW9)&lt;0,0,SUM(I10:J21)+SUM(K10:AW10)-SUM(K9:AW9))-SUM(K8:AW8))</f>
        <v>-51000</v>
      </c>
    </row>
    <row r="12" spans="1:49" x14ac:dyDescent="0.3">
      <c r="A12" s="5" t="s">
        <v>53</v>
      </c>
      <c r="B12" s="5" t="s">
        <v>54</v>
      </c>
      <c r="C12" s="5" t="s">
        <v>55</v>
      </c>
      <c r="D12" s="5" t="s">
        <v>56</v>
      </c>
      <c r="E12" s="5" t="str">
        <f t="shared" si="0"/>
        <v>W15</v>
      </c>
      <c r="F12" s="9">
        <v>0</v>
      </c>
      <c r="G12" s="9">
        <v>0</v>
      </c>
      <c r="H12" s="5" t="s">
        <v>173</v>
      </c>
      <c r="I12" s="9">
        <v>0</v>
      </c>
      <c r="J12" s="9">
        <v>0</v>
      </c>
      <c r="K12" s="5" t="s">
        <v>174</v>
      </c>
      <c r="L12" s="11">
        <f>SUM(I10:J21)-L8-L9</f>
        <v>0</v>
      </c>
      <c r="M12" s="11">
        <f t="shared" ref="M12:AW12" si="1">L12-M8-L9</f>
        <v>0</v>
      </c>
      <c r="N12" s="11">
        <f t="shared" si="1"/>
        <v>0</v>
      </c>
      <c r="O12" s="11">
        <f t="shared" si="1"/>
        <v>0</v>
      </c>
      <c r="P12" s="11">
        <f t="shared" si="1"/>
        <v>0</v>
      </c>
      <c r="Q12" s="11">
        <f t="shared" si="1"/>
        <v>0</v>
      </c>
      <c r="R12" s="11">
        <f t="shared" si="1"/>
        <v>0</v>
      </c>
      <c r="S12" s="11">
        <f t="shared" si="1"/>
        <v>0</v>
      </c>
      <c r="T12" s="11">
        <f t="shared" si="1"/>
        <v>0</v>
      </c>
      <c r="U12" s="11">
        <f t="shared" si="1"/>
        <v>0</v>
      </c>
      <c r="V12" s="11">
        <f t="shared" si="1"/>
        <v>0</v>
      </c>
      <c r="W12" s="11">
        <f t="shared" si="1"/>
        <v>0</v>
      </c>
      <c r="X12" s="11">
        <f t="shared" si="1"/>
        <v>0</v>
      </c>
      <c r="Y12" s="11">
        <f t="shared" si="1"/>
        <v>0</v>
      </c>
      <c r="Z12" s="11">
        <f t="shared" si="1"/>
        <v>0</v>
      </c>
      <c r="AA12" s="11">
        <f t="shared" si="1"/>
        <v>0</v>
      </c>
      <c r="AB12" s="11">
        <f t="shared" si="1"/>
        <v>0</v>
      </c>
      <c r="AC12" s="11">
        <f t="shared" si="1"/>
        <v>0</v>
      </c>
      <c r="AD12" s="11">
        <f t="shared" si="1"/>
        <v>0</v>
      </c>
      <c r="AE12" s="11">
        <f t="shared" si="1"/>
        <v>0</v>
      </c>
      <c r="AF12" s="11">
        <f t="shared" si="1"/>
        <v>0</v>
      </c>
      <c r="AG12" s="11">
        <f t="shared" si="1"/>
        <v>0</v>
      </c>
      <c r="AH12" s="11">
        <f t="shared" si="1"/>
        <v>0</v>
      </c>
      <c r="AI12" s="11">
        <f t="shared" si="1"/>
        <v>0</v>
      </c>
      <c r="AJ12" s="11">
        <f t="shared" si="1"/>
        <v>0</v>
      </c>
      <c r="AK12" s="11">
        <f t="shared" si="1"/>
        <v>0</v>
      </c>
      <c r="AL12" s="11">
        <f t="shared" si="1"/>
        <v>0</v>
      </c>
      <c r="AM12" s="11">
        <f t="shared" si="1"/>
        <v>-6000</v>
      </c>
      <c r="AN12" s="11">
        <f t="shared" si="1"/>
        <v>-18000</v>
      </c>
      <c r="AO12" s="11">
        <f t="shared" si="1"/>
        <v>-21000</v>
      </c>
      <c r="AP12" s="11">
        <f t="shared" si="1"/>
        <v>-36000</v>
      </c>
      <c r="AQ12" s="11">
        <f t="shared" si="1"/>
        <v>-48000</v>
      </c>
      <c r="AR12" s="11">
        <f t="shared" si="1"/>
        <v>-51000</v>
      </c>
      <c r="AS12" s="11">
        <f t="shared" si="1"/>
        <v>-51000</v>
      </c>
      <c r="AT12" s="11">
        <f t="shared" si="1"/>
        <v>-51000</v>
      </c>
      <c r="AU12" s="11">
        <f t="shared" si="1"/>
        <v>-51000</v>
      </c>
      <c r="AV12" s="11">
        <f t="shared" si="1"/>
        <v>-51000</v>
      </c>
      <c r="AW12" s="11">
        <f t="shared" si="1"/>
        <v>-51000</v>
      </c>
    </row>
    <row r="13" spans="1:49" x14ac:dyDescent="0.3">
      <c r="A13" s="5" t="s">
        <v>53</v>
      </c>
      <c r="B13" s="5" t="s">
        <v>54</v>
      </c>
      <c r="C13" s="5" t="s">
        <v>55</v>
      </c>
      <c r="D13" s="5" t="s">
        <v>56</v>
      </c>
      <c r="E13" s="5" t="str">
        <f t="shared" si="0"/>
        <v>W15</v>
      </c>
      <c r="F13" s="9">
        <v>0</v>
      </c>
      <c r="G13" s="9">
        <v>0</v>
      </c>
      <c r="H13" s="5" t="s">
        <v>175</v>
      </c>
      <c r="I13" s="9">
        <v>0</v>
      </c>
      <c r="J13" s="9">
        <v>0</v>
      </c>
      <c r="K13" s="7"/>
      <c r="L13" s="7" t="s">
        <v>3</v>
      </c>
      <c r="M13" s="7" t="s">
        <v>3</v>
      </c>
      <c r="N13" s="7" t="s">
        <v>3</v>
      </c>
      <c r="O13" s="7" t="s">
        <v>3</v>
      </c>
      <c r="P13" s="7" t="s">
        <v>3</v>
      </c>
      <c r="Q13" s="7" t="s">
        <v>3</v>
      </c>
      <c r="R13" s="7" t="s">
        <v>3</v>
      </c>
      <c r="S13" s="7" t="s">
        <v>3</v>
      </c>
      <c r="T13" s="7" t="s">
        <v>3</v>
      </c>
      <c r="U13" s="7" t="s">
        <v>3</v>
      </c>
      <c r="V13" s="8" t="s">
        <v>3</v>
      </c>
      <c r="W13" s="8" t="s">
        <v>3</v>
      </c>
      <c r="X13" s="8" t="s">
        <v>3</v>
      </c>
      <c r="Y13" s="8" t="s">
        <v>3</v>
      </c>
      <c r="Z13" s="8" t="s">
        <v>3</v>
      </c>
      <c r="AA13" s="8" t="s">
        <v>3</v>
      </c>
      <c r="AB13" s="8" t="s">
        <v>3</v>
      </c>
      <c r="AC13" s="8" t="s">
        <v>3</v>
      </c>
      <c r="AD13" s="8" t="s">
        <v>3</v>
      </c>
      <c r="AE13" s="8" t="s">
        <v>3</v>
      </c>
      <c r="AF13" s="8" t="s">
        <v>3</v>
      </c>
      <c r="AG13" s="8" t="s">
        <v>3</v>
      </c>
      <c r="AH13" s="8" t="s">
        <v>3</v>
      </c>
      <c r="AI13" s="8" t="s">
        <v>3</v>
      </c>
      <c r="AJ13" s="8" t="s">
        <v>3</v>
      </c>
      <c r="AK13" s="8" t="s">
        <v>3</v>
      </c>
      <c r="AL13" s="8" t="s">
        <v>3</v>
      </c>
      <c r="AM13" s="8" t="s">
        <v>3</v>
      </c>
      <c r="AN13" s="8" t="s">
        <v>3</v>
      </c>
      <c r="AO13" s="8" t="s">
        <v>3</v>
      </c>
      <c r="AP13" s="8" t="s">
        <v>3</v>
      </c>
      <c r="AQ13" s="8" t="s">
        <v>3</v>
      </c>
      <c r="AR13" s="8" t="s">
        <v>3</v>
      </c>
      <c r="AS13" s="8" t="s">
        <v>3</v>
      </c>
      <c r="AT13" s="8" t="s">
        <v>3</v>
      </c>
      <c r="AU13" s="8" t="s">
        <v>3</v>
      </c>
      <c r="AV13" s="8" t="s">
        <v>3</v>
      </c>
      <c r="AW13" s="8" t="s">
        <v>3</v>
      </c>
    </row>
    <row r="14" spans="1:49" x14ac:dyDescent="0.3">
      <c r="A14" s="5" t="s">
        <v>53</v>
      </c>
      <c r="B14" s="5" t="s">
        <v>54</v>
      </c>
      <c r="C14" s="5" t="s">
        <v>55</v>
      </c>
      <c r="D14" s="5" t="s">
        <v>56</v>
      </c>
      <c r="E14" s="5" t="str">
        <f t="shared" si="0"/>
        <v>W15</v>
      </c>
      <c r="F14" s="9">
        <v>0</v>
      </c>
      <c r="G14" s="9">
        <v>0</v>
      </c>
      <c r="H14" s="5" t="s">
        <v>176</v>
      </c>
      <c r="I14" s="9">
        <v>0</v>
      </c>
      <c r="J14" s="9">
        <v>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3">
      <c r="A15" s="5" t="s">
        <v>53</v>
      </c>
      <c r="B15" s="5" t="s">
        <v>54</v>
      </c>
      <c r="C15" s="5" t="s">
        <v>55</v>
      </c>
      <c r="D15" s="5" t="s">
        <v>56</v>
      </c>
      <c r="E15" s="5" t="str">
        <f t="shared" si="0"/>
        <v>W15</v>
      </c>
      <c r="F15" s="9">
        <v>0</v>
      </c>
      <c r="G15" s="9">
        <v>0</v>
      </c>
      <c r="H15" s="5" t="s">
        <v>177</v>
      </c>
      <c r="I15" s="9">
        <v>0</v>
      </c>
      <c r="J15" s="9">
        <v>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3">
      <c r="A16" s="5" t="s">
        <v>53</v>
      </c>
      <c r="B16" s="5" t="s">
        <v>54</v>
      </c>
      <c r="C16" s="5" t="s">
        <v>55</v>
      </c>
      <c r="D16" s="5" t="s">
        <v>56</v>
      </c>
      <c r="E16" s="5" t="str">
        <f t="shared" si="0"/>
        <v>W15</v>
      </c>
      <c r="F16" s="9">
        <v>0</v>
      </c>
      <c r="G16" s="9">
        <v>0</v>
      </c>
      <c r="H16" s="5" t="s">
        <v>178</v>
      </c>
      <c r="I16" s="9">
        <v>0</v>
      </c>
      <c r="J16" s="9">
        <v>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3">
      <c r="A17" s="5" t="s">
        <v>53</v>
      </c>
      <c r="B17" s="5" t="s">
        <v>54</v>
      </c>
      <c r="C17" s="5" t="s">
        <v>55</v>
      </c>
      <c r="D17" s="5" t="s">
        <v>56</v>
      </c>
      <c r="E17" s="5" t="str">
        <f t="shared" si="0"/>
        <v>W15</v>
      </c>
      <c r="F17" s="9">
        <v>0</v>
      </c>
      <c r="G17" s="9">
        <v>0</v>
      </c>
      <c r="H17" s="5" t="s">
        <v>179</v>
      </c>
      <c r="I17" s="9">
        <v>0</v>
      </c>
      <c r="J17" s="9">
        <v>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3">
      <c r="A18" s="5" t="s">
        <v>53</v>
      </c>
      <c r="B18" s="5" t="s">
        <v>54</v>
      </c>
      <c r="C18" s="5" t="s">
        <v>55</v>
      </c>
      <c r="D18" s="5" t="s">
        <v>56</v>
      </c>
      <c r="E18" s="5" t="str">
        <f t="shared" si="0"/>
        <v>W15</v>
      </c>
      <c r="F18" s="9">
        <v>0</v>
      </c>
      <c r="G18" s="9">
        <v>0</v>
      </c>
      <c r="H18" s="5" t="s">
        <v>180</v>
      </c>
      <c r="I18" s="9">
        <v>0</v>
      </c>
      <c r="J18" s="9">
        <v>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3">
      <c r="A19" s="5" t="s">
        <v>53</v>
      </c>
      <c r="B19" s="5" t="s">
        <v>54</v>
      </c>
      <c r="C19" s="5" t="s">
        <v>55</v>
      </c>
      <c r="D19" s="5" t="s">
        <v>56</v>
      </c>
      <c r="E19" s="5" t="str">
        <f t="shared" si="0"/>
        <v>W15</v>
      </c>
      <c r="F19" s="9">
        <v>0</v>
      </c>
      <c r="G19" s="9">
        <v>0</v>
      </c>
      <c r="H19" s="5" t="s">
        <v>181</v>
      </c>
      <c r="I19" s="9">
        <v>0</v>
      </c>
      <c r="J19" s="9">
        <v>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3">
      <c r="A20" s="5" t="s">
        <v>53</v>
      </c>
      <c r="B20" s="5" t="s">
        <v>54</v>
      </c>
      <c r="C20" s="5" t="s">
        <v>55</v>
      </c>
      <c r="D20" s="5" t="s">
        <v>56</v>
      </c>
      <c r="E20" s="5" t="str">
        <f t="shared" si="0"/>
        <v>W15</v>
      </c>
      <c r="F20" s="9">
        <v>0</v>
      </c>
      <c r="G20" s="9">
        <v>0</v>
      </c>
      <c r="H20" s="5" t="s">
        <v>182</v>
      </c>
      <c r="I20" s="9">
        <v>0</v>
      </c>
      <c r="J20" s="9">
        <v>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3">
      <c r="A21" s="5" t="s">
        <v>53</v>
      </c>
      <c r="B21" s="5" t="s">
        <v>54</v>
      </c>
      <c r="C21" s="5" t="s">
        <v>55</v>
      </c>
      <c r="D21" s="5" t="s">
        <v>56</v>
      </c>
      <c r="E21" s="5" t="str">
        <f t="shared" si="0"/>
        <v>W15</v>
      </c>
      <c r="F21" s="9">
        <v>0</v>
      </c>
      <c r="G21" s="9">
        <v>0</v>
      </c>
      <c r="H21" s="5" t="s">
        <v>183</v>
      </c>
      <c r="I21" s="9">
        <v>0</v>
      </c>
      <c r="J21" s="9">
        <v>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</sheetData>
  <sheetProtection formatColumns="0" autoFilter="0"/>
  <autoFilter ref="A4:AW4" xr:uid="{00000000-0009-0000-0000-000000000000}"/>
  <phoneticPr fontId="1" type="noConversion"/>
  <conditionalFormatting sqref="E1:E1048576">
    <cfRule type="cellIs" dxfId="18" priority="1" stopIfTrue="1" operator="equal">
      <formula>"P"</formula>
    </cfRule>
    <cfRule type="cellIs" dxfId="17" priority="2" stopIfTrue="1" operator="between">
      <formula>"D1"</formula>
      <formula>"D9"</formula>
    </cfRule>
    <cfRule type="cellIs" dxfId="16" priority="3" stopIfTrue="1" operator="between">
      <formula>"D10"</formula>
      <formula>"D14"</formula>
    </cfRule>
    <cfRule type="cellIs" dxfId="15" priority="4" stopIfTrue="1" operator="equal">
      <formula>"W1"</formula>
    </cfRule>
    <cfRule type="cellIs" dxfId="14" priority="5" stopIfTrue="1" operator="equal">
      <formula>"W2"</formula>
    </cfRule>
    <cfRule type="cellIs" dxfId="13" priority="6" stopIfTrue="1" operator="equal">
      <formula>"W3"</formula>
    </cfRule>
    <cfRule type="cellIs" dxfId="12" priority="7" stopIfTrue="1" operator="equal">
      <formula>"W4"</formula>
    </cfRule>
    <cfRule type="cellIs" dxfId="11" priority="8" stopIfTrue="1" operator="equal">
      <formula>"W5"</formula>
    </cfRule>
    <cfRule type="cellIs" dxfId="10" priority="9" stopIfTrue="1" operator="equal">
      <formula>"W6"</formula>
    </cfRule>
    <cfRule type="cellIs" dxfId="9" priority="10" stopIfTrue="1" operator="equal">
      <formula>"W7"</formula>
    </cfRule>
    <cfRule type="cellIs" dxfId="8" priority="11" stopIfTrue="1" operator="equal">
      <formula>"W8"</formula>
    </cfRule>
    <cfRule type="cellIs" dxfId="7" priority="12" stopIfTrue="1" operator="equal">
      <formula>"W9"</formula>
    </cfRule>
    <cfRule type="cellIs" dxfId="6" priority="15" stopIfTrue="1" operator="equal">
      <formula>"W10"</formula>
    </cfRule>
    <cfRule type="cellIs" dxfId="5" priority="18" stopIfTrue="1" operator="equal">
      <formula>"W11"</formula>
    </cfRule>
    <cfRule type="cellIs" dxfId="4" priority="19" stopIfTrue="1" operator="equal">
      <formula>"W12"</formula>
    </cfRule>
    <cfRule type="cellIs" dxfId="3" priority="20" stopIfTrue="1" operator="equal">
      <formula>"W13"</formula>
    </cfRule>
    <cfRule type="cellIs" dxfId="2" priority="21" stopIfTrue="1" operator="between">
      <formula>"W14"</formula>
      <formula>"W19"</formula>
    </cfRule>
    <cfRule type="cellIs" dxfId="1" priority="22" stopIfTrue="1" operator="between">
      <formula>"W20"</formula>
      <formula>"W52"</formula>
    </cfRule>
    <cfRule type="cellIs" dxfId="0" priority="23" stopIfTrue="1" operator="between">
      <formula>"M13"</formula>
      <formula>"M24"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>Quanta Computer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Kuo (郭曉蓉)</dc:creator>
  <cp:lastModifiedBy>佩庭 Petty Wu</cp:lastModifiedBy>
  <dcterms:created xsi:type="dcterms:W3CDTF">2015-08-11T09:10:19Z</dcterms:created>
  <dcterms:modified xsi:type="dcterms:W3CDTF">2025-12-18T11:07:17Z</dcterms:modified>
</cp:coreProperties>
</file>